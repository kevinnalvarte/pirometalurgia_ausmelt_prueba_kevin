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Linea de Sn\Lingo Smelter\func-teorethical-model\"/>
    </mc:Choice>
  </mc:AlternateContent>
  <xr:revisionPtr revIDLastSave="0" documentId="8_{0D57581A-A7DE-4DCE-99F2-03257CE8D7CE}" xr6:coauthVersionLast="47" xr6:coauthVersionMax="47" xr10:uidLastSave="{00000000-0000-0000-0000-000000000000}"/>
  <bookViews>
    <workbookView xWindow="-108" yWindow="-108" windowWidth="23256" windowHeight="12456" tabRatio="859" xr2:uid="{B1D95D9D-073B-4C40-9E48-A39D7B9B015A}"/>
  </bookViews>
  <sheets>
    <sheet name="Principal" sheetId="11" r:id="rId1"/>
    <sheet name="Analisis Conc." sheetId="1" r:id="rId2"/>
    <sheet name="Factores" sheetId="14" r:id="rId3"/>
    <sheet name="Carga" sheetId="5" r:id="rId4"/>
    <sheet name="Perdidas" sheetId="18" r:id="rId5"/>
    <sheet name="Analisis Otros" sheetId="4" r:id="rId6"/>
    <sheet name="Conversion Flujos" sheetId="20" r:id="rId7"/>
    <sheet name="GO-F-7003" sheetId="2" state="hidden" r:id="rId8"/>
    <sheet name="Perfil" sheetId="16" r:id="rId9"/>
    <sheet name="Bal Mat Fus" sheetId="6" r:id="rId10"/>
    <sheet name="Bal Mat Red" sheetId="7" r:id="rId11"/>
    <sheet name="Bal Energ Red" sheetId="9" r:id="rId12"/>
    <sheet name="Bal Energ Fus" sheetId="8" r:id="rId13"/>
    <sheet name="Resumen" sheetId="17" r:id="rId14"/>
    <sheet name="Resumen2" sheetId="12" r:id="rId15"/>
    <sheet name="macro" sheetId="15" r:id="rId16"/>
    <sheet name="historia perdidas" sheetId="19" r:id="rId17"/>
    <sheet name="Comparacion" sheetId="21" r:id="rId18"/>
  </sheets>
  <externalReferences>
    <externalReference r:id="rId19"/>
    <externalReference r:id="rId20"/>
    <externalReference r:id="rId21"/>
  </externalReferences>
  <definedNames>
    <definedName name="__xlpm.H2O" hidden="1" xlm="1" functionGroupId="14">#NAME?</definedName>
    <definedName name="__xlpm.TMH" hidden="1" xlm="1" functionGroupId="14">#NAME?</definedName>
    <definedName name="ACOMSE">#REF!</definedName>
    <definedName name="ACOMSH">#REF!</definedName>
    <definedName name="ACONC">#REF!</definedName>
    <definedName name="AFRIO">#REF!</definedName>
    <definedName name="AICOT" localSheetId="2">[1]METSIM!$F$53</definedName>
    <definedName name="AICOT">[1]METSIM!$F$53</definedName>
    <definedName name="AIGG" localSheetId="2">[1]METSIM!$F$19</definedName>
    <definedName name="AIGG">[1]METSIM!$F$19</definedName>
    <definedName name="AINFSE">#REF!</definedName>
    <definedName name="AINFSH">#REF!</definedName>
    <definedName name="AIRCU" localSheetId="2">[2]METSIM!$N$43</definedName>
    <definedName name="AIRCU">[2]METSIM!$N$43</definedName>
    <definedName name="AIRE">#REF!</definedName>
    <definedName name="AIRGGP" localSheetId="2">[1]METSIM!$F$39</definedName>
    <definedName name="AIRGGP">[1]METSIM!$F$39</definedName>
    <definedName name="AIROP" localSheetId="2">[1]METSIM!$F$41</definedName>
    <definedName name="AIROP">[1]METSIM!$F$41</definedName>
    <definedName name="AIROV" localSheetId="2">[1]METSIM!$F$40</definedName>
    <definedName name="AIROV">[1]METSIM!$F$40</definedName>
    <definedName name="AIRS" localSheetId="2">[1]METSIM!$F$37</definedName>
    <definedName name="AIRS">[1]METSIM!$F$37</definedName>
    <definedName name="AIRSP" localSheetId="2">[1]METSIM!$F$38</definedName>
    <definedName name="AIRSP">[1]METSIM!$F$38</definedName>
    <definedName name="AIRUT">#REF!</definedName>
    <definedName name="AL2O3" localSheetId="2">[1]METSIM!$L$41</definedName>
    <definedName name="AL2O3">[1]METSIM!$L$41</definedName>
    <definedName name="AMAT" localSheetId="2">[1]METSIM!#REF!</definedName>
    <definedName name="AMAT">[1]METSIM!#REF!</definedName>
    <definedName name="_xlnm.Print_Area" localSheetId="1">'Analisis Conc.'!$A$1:$M$78</definedName>
    <definedName name="_xlnm.Print_Area" localSheetId="7">'GO-F-7003'!$A:$S</definedName>
    <definedName name="_xlnm.Print_Area" localSheetId="0">Principal!$B$2:$R$109</definedName>
    <definedName name="_xlnm.Print_Area" localSheetId="13">Resumen!$B$2:$S$44</definedName>
    <definedName name="_xlnm.Print_Area" localSheetId="14">Resumen2!$B$2:$S$44</definedName>
    <definedName name="ASIL">#REF!</definedName>
    <definedName name="BLIST" localSheetId="2">[2]METSIM!$N$39</definedName>
    <definedName name="BLIST">[2]METSIM!$N$39</definedName>
    <definedName name="CAL">#REF!</definedName>
    <definedName name="CalcularTMS">#VALUE!</definedName>
    <definedName name="CAO" localSheetId="2">[1]METSIM!$L$42</definedName>
    <definedName name="CAO">[1]METSIM!$L$42</definedName>
    <definedName name="CARGA" localSheetId="2">[1]METSIM!$F$30</definedName>
    <definedName name="CARGA">[1]METSIM!$F$30</definedName>
    <definedName name="CARINP">#REF!</definedName>
    <definedName name="CO" localSheetId="2">[1]METSIM!$L$46</definedName>
    <definedName name="CO">[1]METSIM!$L$46</definedName>
    <definedName name="Codigo_Procedencia">#REF!</definedName>
    <definedName name="COG" localSheetId="2">[1]METSIM!$L$45</definedName>
    <definedName name="COG">[1]METSIM!$L$45</definedName>
    <definedName name="COII" localSheetId="2">[1]METSIM!$L$44</definedName>
    <definedName name="COII">[1]METSIM!$L$44</definedName>
    <definedName name="Cold__Dope_Cmt">'[3]BALANCE (1)'!#REF!</definedName>
    <definedName name="COLD_DOPE">#REF!</definedName>
    <definedName name="COMBUSTIBLE">#REF!</definedName>
    <definedName name="CONCENTRADO">#REF!</definedName>
    <definedName name="COQUINA">#REF!</definedName>
    <definedName name="criteria_01">#REF!</definedName>
    <definedName name="criteria_02">#REF!</definedName>
    <definedName name="criteria_03">#REF!</definedName>
    <definedName name="criteria_04">#REF!</definedName>
    <definedName name="CUAD_01">#REF!</definedName>
    <definedName name="CUAD_02">#REF!</definedName>
    <definedName name="CUAD_03">#REF!</definedName>
    <definedName name="CUAD_04">#REF!</definedName>
    <definedName name="Cuad_Resumen">#REF!</definedName>
    <definedName name="CUAJ">#REF!</definedName>
    <definedName name="CUBLIS" localSheetId="2">[2]METSIM!$N$53</definedName>
    <definedName name="CUBLIS">[2]METSIM!$N$53</definedName>
    <definedName name="CUE" localSheetId="2">[1]METSIM!$L$37</definedName>
    <definedName name="CUE">[1]METSIM!$L$37</definedName>
    <definedName name="CUFCU" localSheetId="2">[2]METSIM!$N$55</definedName>
    <definedName name="CUFCU">[2]METSIM!$N$55</definedName>
    <definedName name="CUFRES" localSheetId="2">[2]METSIM!$F$67</definedName>
    <definedName name="CUFRES">[2]METSIM!$F$67</definedName>
    <definedName name="CUME" localSheetId="2">[2]METSIM!$F$53</definedName>
    <definedName name="CUME">[2]METSIM!$F$53</definedName>
    <definedName name="Data_Extract">#REF!</definedName>
    <definedName name="DataBAse_Import">#REF!</definedName>
    <definedName name="DIET" localSheetId="2">[1]METSIM!$F$52</definedName>
    <definedName name="DIET">[1]METSIM!$F$52</definedName>
    <definedName name="DTM">#REF!</definedName>
    <definedName name="EFI">#REF!</definedName>
    <definedName name="EJE">#REF!</definedName>
    <definedName name="ESC_CMT">#REF!</definedName>
    <definedName name="ESC_CONV">#REF!</definedName>
    <definedName name="ESC_MATTE">#REF!</definedName>
    <definedName name="ESC_REV">#REF!</definedName>
    <definedName name="ESCCU" localSheetId="2">[2]METSIM!$N$40</definedName>
    <definedName name="ESCCU">[2]METSIM!$N$40</definedName>
    <definedName name="ESCORIA" localSheetId="2">[1]METSIM!$F$34</definedName>
    <definedName name="ESCORIA">[1]METSIM!$F$34</definedName>
    <definedName name="FEE" localSheetId="2">[1]METSIM!$L$38</definedName>
    <definedName name="FEE">[1]METSIM!$L$38</definedName>
    <definedName name="FEM" localSheetId="2">[1]METSIM!$L$34</definedName>
    <definedName name="FEM">[1]METSIM!$L$34</definedName>
    <definedName name="FEO" localSheetId="2">[1]METSIM!$L$40</definedName>
    <definedName name="FEO">[1]METSIM!$L$40</definedName>
    <definedName name="FGCU" localSheetId="2">[2]METSIM!$N$54</definedName>
    <definedName name="FGCU">[2]METSIM!$N$54</definedName>
    <definedName name="FGESC" localSheetId="2">[2]METSIM!$F$66</definedName>
    <definedName name="FGESC">[2]METSIM!$F$66</definedName>
    <definedName name="FLAG">#REF!</definedName>
    <definedName name="FRAC">#REF!</definedName>
    <definedName name="FTOLVA">#REF!</definedName>
    <definedName name="FUELSE">#REF!</definedName>
    <definedName name="FUELSH">#REF!</definedName>
    <definedName name="GASCU" localSheetId="2">[2]METSIM!$N$41</definedName>
    <definedName name="GASCU">[2]METSIM!$N$41</definedName>
    <definedName name="GASCUV" localSheetId="2">[2]METSIM!$N$42</definedName>
    <definedName name="GASCUV">[2]METSIM!$N$42</definedName>
    <definedName name="GASES">#REF!</definedName>
    <definedName name="GASESP" localSheetId="2">[1]METSIM!$F$35</definedName>
    <definedName name="GASESP">[1]METSIM!$F$35</definedName>
    <definedName name="GASESV" localSheetId="2">[1]METSIM!$F$36</definedName>
    <definedName name="GASESV">[1]METSIM!$F$36</definedName>
    <definedName name="GMET">#REF!</definedName>
    <definedName name="GMO" localSheetId="2">[1]METSIM!$F$47</definedName>
    <definedName name="GMO">[1]METSIM!$F$47</definedName>
    <definedName name="H2O" localSheetId="2">[1]METSIM!$L$33</definedName>
    <definedName name="H2O">[1]METSIM!$L$33</definedName>
    <definedName name="H2OCU" localSheetId="2">[2]METSIM!$N$52</definedName>
    <definedName name="H2OCU">[2]METSIM!$N$52</definedName>
    <definedName name="HUMC">#REF!</definedName>
    <definedName name="Impresion_Prep_Cama">#REF!</definedName>
    <definedName name="INFT" localSheetId="2">[1]METSIM!$F$51</definedName>
    <definedName name="INFT">[1]METSIM!$F$51</definedName>
    <definedName name="MATA">#REF!</definedName>
    <definedName name="MATERIAL">#REF!</definedName>
    <definedName name="MENU_PRINCIPAL">#REF!</definedName>
    <definedName name="MEO" localSheetId="2">[2]METSIM!$F$61</definedName>
    <definedName name="MEO">[2]METSIM!$F$61</definedName>
    <definedName name="METAL" localSheetId="2">[1]METSIM!$F$33</definedName>
    <definedName name="METAL">[1]METSIM!$F$33</definedName>
    <definedName name="METESC" localSheetId="2">[2]METSIM!$F$39</definedName>
    <definedName name="METESC">[2]METSIM!$F$39</definedName>
    <definedName name="MGES">#REF!</definedName>
    <definedName name="MGME">#REF!</definedName>
    <definedName name="N2CU" localSheetId="2">[2]METSIM!$N$51</definedName>
    <definedName name="N2CU">[2]METSIM!$N$51</definedName>
    <definedName name="_NIT2" localSheetId="2">[1]METSIM!$L$32</definedName>
    <definedName name="_NIT2">[1]METSIM!$L$32</definedName>
    <definedName name="O2CU" localSheetId="2">[2]METSIM!$N$50</definedName>
    <definedName name="O2CU">[2]METSIM!$N$50</definedName>
    <definedName name="OE" localSheetId="2">[1]METSIM!$L$43</definedName>
    <definedName name="OE">[1]METSIM!$L$43</definedName>
    <definedName name="OM" localSheetId="2">[1]METSIM!$L$36</definedName>
    <definedName name="OM">[1]METSIM!$L$36</definedName>
    <definedName name="OTROS1">#REF!</definedName>
    <definedName name="OTROS2">#REF!</definedName>
    <definedName name="OXCU" localSheetId="2">[2]METSIM!$N$44</definedName>
    <definedName name="OXCU">[2]METSIM!$N$44</definedName>
    <definedName name="_OXG2" localSheetId="2">[1]METSIM!$L$31</definedName>
    <definedName name="_OXG2">[1]METSIM!$L$31</definedName>
    <definedName name="OXI">#REF!</definedName>
    <definedName name="Panta21">#REF!</definedName>
    <definedName name="Panta22">#REF!</definedName>
    <definedName name="Panta23">#REF!</definedName>
    <definedName name="Panta24">#REF!</definedName>
    <definedName name="Panta25">#REF!</definedName>
    <definedName name="PantaPrint">#REF!</definedName>
    <definedName name="PCBD">#REF!</definedName>
    <definedName name="PERD">#REF!</definedName>
    <definedName name="PERD1" localSheetId="2">[1]METSIM!#REF!</definedName>
    <definedName name="PERD1">[1]METSIM!#REF!</definedName>
    <definedName name="PERD2" localSheetId="2">[1]METSIM!#REF!</definedName>
    <definedName name="PERD2">[1]METSIM!#REF!</definedName>
    <definedName name="PERD3" localSheetId="2">[1]METSIM!#REF!</definedName>
    <definedName name="PERD3">[1]METSIM!#REF!</definedName>
    <definedName name="PERD4" localSheetId="2">[1]METSIM!#REF!</definedName>
    <definedName name="PERD4">[1]METSIM!#REF!</definedName>
    <definedName name="PETROLEO">#REF!</definedName>
    <definedName name="PFRI">#REF!</definedName>
    <definedName name="POLVCU" localSheetId="2">[2]METSIM!$N$45</definedName>
    <definedName name="POLVCU">[2]METSIM!$N$45</definedName>
    <definedName name="POLVO" localSheetId="2">[1]METSIM!$F$42</definedName>
    <definedName name="POLVO">[1]METSIM!$F$42</definedName>
    <definedName name="PREPARACION_CAMAS">#REF!</definedName>
    <definedName name="procedencia">#REF!</definedName>
    <definedName name="Resum_Balance">#REF!</definedName>
    <definedName name="SE" localSheetId="2">[1]METSIM!$L$39</definedName>
    <definedName name="SE">[1]METSIM!$L$39</definedName>
    <definedName name="SEO" localSheetId="2">[2]METSIM!$F$62</definedName>
    <definedName name="SEO">[2]METSIM!$F$62</definedName>
    <definedName name="SILICA" localSheetId="2">[1]METSIM!$F$32</definedName>
    <definedName name="SILICA" localSheetId="13">#REF!</definedName>
    <definedName name="SILICA" localSheetId="14">#REF!</definedName>
    <definedName name="SILICA">[1]METSIM!$F$32</definedName>
    <definedName name="Silica_CMT">'[3]BALANCE (1)'!#REF!</definedName>
    <definedName name="SILICA_FLUX_PSC">#REF!</definedName>
    <definedName name="SILINP">#REF!</definedName>
    <definedName name="SIO">#REF!</definedName>
    <definedName name="SM" localSheetId="2">[1]METSIM!$L$35</definedName>
    <definedName name="SM">[1]METSIM!$L$35</definedName>
    <definedName name="_SO2" localSheetId="2">[1]METSIM!$L$30</definedName>
    <definedName name="_SO2">[1]METSIM!$L$30</definedName>
    <definedName name="SO2CU" localSheetId="2">[2]METSIM!$N$49</definedName>
    <definedName name="SO2CU">[2]METSIM!$N$49</definedName>
    <definedName name="SOP" localSheetId="2">[1]METSIM!$F$45</definedName>
    <definedName name="SOP">[1]METSIM!$F$45</definedName>
    <definedName name="SUMPERD" localSheetId="2">[1]METSIM!#REF!</definedName>
    <definedName name="SUMPERD">[1]METSIM!#REF!</definedName>
    <definedName name="TBLIS" localSheetId="2">[2]METSIM!$N$46</definedName>
    <definedName name="TBLIS">[2]METSIM!$N$46</definedName>
    <definedName name="TENF">#REF!</definedName>
    <definedName name="TEO" localSheetId="2">[1]METSIM!$F$50</definedName>
    <definedName name="TEO">[1]METSIM!$F$50</definedName>
    <definedName name="TESC">#REF!</definedName>
    <definedName name="TESCU" localSheetId="2">[2]METSIM!$N$48</definedName>
    <definedName name="TESCU">[2]METSIM!$N$48</definedName>
    <definedName name="TGAS" localSheetId="2">[1]METSIM!$F$44</definedName>
    <definedName name="TGAS">[1]METSIM!$F$44</definedName>
    <definedName name="TGASC" localSheetId="2">[2]METSIM!$N$47</definedName>
    <definedName name="TGASC">[2]METSIM!$N$47</definedName>
    <definedName name="TINTA">#REF!</definedName>
    <definedName name="_xlnm.Print_Titles" localSheetId="7">'GO-F-7003'!$1:$8</definedName>
    <definedName name="TMAT">#REF!</definedName>
    <definedName name="TMET" localSheetId="2">[1]METSIM!$F$43</definedName>
    <definedName name="TMET">[1]METSIM!$F$43</definedName>
    <definedName name="TOQ">#REF!</definedName>
    <definedName name="Vent_Menu_Balance">#REF!</definedName>
    <definedName name="VENTANA_02">#REF!</definedName>
    <definedName name="zry">#REF!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8" i="21" l="1"/>
  <c r="E10" i="21"/>
  <c r="E11" i="21"/>
  <c r="E12" i="21"/>
  <c r="E14" i="21"/>
  <c r="E15" i="21"/>
  <c r="E16" i="21"/>
  <c r="E18" i="21"/>
  <c r="E21" i="21"/>
  <c r="F21" i="21"/>
  <c r="E22" i="21"/>
  <c r="E24" i="21"/>
  <c r="E27" i="21"/>
  <c r="B9" i="19"/>
  <c r="C9" i="19"/>
  <c r="D9" i="19"/>
  <c r="E9" i="19"/>
  <c r="F9" i="19"/>
  <c r="G9" i="19"/>
  <c r="H9" i="19"/>
  <c r="I9" i="19"/>
  <c r="J9" i="19"/>
  <c r="K9" i="19"/>
  <c r="B15" i="19"/>
  <c r="C15" i="19"/>
  <c r="D15" i="19"/>
  <c r="E15" i="19"/>
  <c r="F15" i="19"/>
  <c r="G15" i="19"/>
  <c r="H15" i="19"/>
  <c r="I15" i="19"/>
  <c r="J15" i="19"/>
  <c r="K15" i="19"/>
  <c r="D7" i="15"/>
  <c r="D46" i="15"/>
  <c r="C47" i="15"/>
  <c r="D14" i="12"/>
  <c r="D16" i="12"/>
  <c r="M16" i="12"/>
  <c r="D20" i="12"/>
  <c r="Q20" i="12"/>
  <c r="D21" i="12"/>
  <c r="D22" i="12"/>
  <c r="D33" i="12"/>
  <c r="D37" i="12"/>
  <c r="D38" i="12"/>
  <c r="Q38" i="12"/>
  <c r="D14" i="17"/>
  <c r="D16" i="17"/>
  <c r="M16" i="17"/>
  <c r="D20" i="17"/>
  <c r="Q20" i="17"/>
  <c r="U20" i="17"/>
  <c r="D21" i="17"/>
  <c r="D22" i="17"/>
  <c r="D33" i="17"/>
  <c r="D37" i="17"/>
  <c r="D38" i="17"/>
  <c r="Q38" i="17"/>
  <c r="U38" i="17"/>
  <c r="C10" i="8"/>
  <c r="D19" i="8"/>
  <c r="S19" i="8"/>
  <c r="C22" i="8"/>
  <c r="D22" i="8"/>
  <c r="E22" i="8"/>
  <c r="M22" i="8"/>
  <c r="S22" i="8"/>
  <c r="T22" i="8"/>
  <c r="C23" i="8"/>
  <c r="D23" i="8"/>
  <c r="E23" i="8"/>
  <c r="S23" i="8"/>
  <c r="T23" i="8"/>
  <c r="C24" i="8"/>
  <c r="D24" i="8"/>
  <c r="E24" i="8"/>
  <c r="S24" i="8"/>
  <c r="T24" i="8"/>
  <c r="C25" i="8"/>
  <c r="D25" i="8"/>
  <c r="E25" i="8"/>
  <c r="M25" i="8"/>
  <c r="S25" i="8"/>
  <c r="T25" i="8"/>
  <c r="C26" i="8"/>
  <c r="D26" i="8"/>
  <c r="E26" i="8"/>
  <c r="S26" i="8"/>
  <c r="T26" i="8"/>
  <c r="C27" i="8"/>
  <c r="D27" i="8"/>
  <c r="E27" i="8"/>
  <c r="M27" i="8"/>
  <c r="S27" i="8"/>
  <c r="T27" i="8"/>
  <c r="C28" i="8"/>
  <c r="D28" i="8"/>
  <c r="E28" i="8"/>
  <c r="M28" i="8"/>
  <c r="P28" i="8"/>
  <c r="Q28" i="8"/>
  <c r="R28" i="8"/>
  <c r="S28" i="8"/>
  <c r="T28" i="8"/>
  <c r="C29" i="8"/>
  <c r="E29" i="8"/>
  <c r="I29" i="8"/>
  <c r="S33" i="8"/>
  <c r="D36" i="8"/>
  <c r="S36" i="8"/>
  <c r="T36" i="8"/>
  <c r="D37" i="8"/>
  <c r="S37" i="8"/>
  <c r="T37" i="8"/>
  <c r="D38" i="8"/>
  <c r="S38" i="8"/>
  <c r="T38" i="8"/>
  <c r="S43" i="8"/>
  <c r="D46" i="8"/>
  <c r="S46" i="8"/>
  <c r="T46" i="8"/>
  <c r="D47" i="8"/>
  <c r="S47" i="8"/>
  <c r="T47" i="8"/>
  <c r="C48" i="8"/>
  <c r="D48" i="8"/>
  <c r="E48" i="8"/>
  <c r="S48" i="8"/>
  <c r="T48" i="8"/>
  <c r="F55" i="8"/>
  <c r="P55" i="8"/>
  <c r="Q55" i="8"/>
  <c r="F56" i="8"/>
  <c r="Q56" i="8"/>
  <c r="F57" i="8"/>
  <c r="Q57" i="8"/>
  <c r="F58" i="8"/>
  <c r="Q58" i="8"/>
  <c r="E59" i="8"/>
  <c r="F59" i="8"/>
  <c r="G59" i="8"/>
  <c r="Q59" i="8"/>
  <c r="F60" i="8"/>
  <c r="Q60" i="8"/>
  <c r="F61" i="8"/>
  <c r="Q61" i="8"/>
  <c r="F62" i="8"/>
  <c r="P62" i="8"/>
  <c r="Q62" i="8"/>
  <c r="F63" i="8"/>
  <c r="P63" i="8"/>
  <c r="Q63" i="8"/>
  <c r="F64" i="8"/>
  <c r="P64" i="8"/>
  <c r="Q64" i="8"/>
  <c r="F65" i="8"/>
  <c r="Q65" i="8"/>
  <c r="F66" i="8"/>
  <c r="P66" i="8"/>
  <c r="Q66" i="8"/>
  <c r="D77" i="8"/>
  <c r="S77" i="8"/>
  <c r="D80" i="8"/>
  <c r="S80" i="8"/>
  <c r="T80" i="8"/>
  <c r="D81" i="8"/>
  <c r="S81" i="8"/>
  <c r="T81" i="8"/>
  <c r="D82" i="8"/>
  <c r="S82" i="8"/>
  <c r="T82" i="8"/>
  <c r="D83" i="8"/>
  <c r="S83" i="8"/>
  <c r="T83" i="8"/>
  <c r="D84" i="8"/>
  <c r="S84" i="8"/>
  <c r="T84" i="8"/>
  <c r="D85" i="8"/>
  <c r="S85" i="8"/>
  <c r="T85" i="8"/>
  <c r="D86" i="8"/>
  <c r="M86" i="8"/>
  <c r="P86" i="8"/>
  <c r="Q86" i="8"/>
  <c r="R86" i="8"/>
  <c r="S86" i="8"/>
  <c r="T86" i="8"/>
  <c r="D91" i="8"/>
  <c r="S91" i="8"/>
  <c r="D94" i="8"/>
  <c r="M94" i="8"/>
  <c r="S94" i="8"/>
  <c r="T94" i="8"/>
  <c r="D95" i="8"/>
  <c r="S95" i="8"/>
  <c r="T95" i="8"/>
  <c r="D96" i="8"/>
  <c r="S96" i="8"/>
  <c r="T96" i="8"/>
  <c r="D97" i="8"/>
  <c r="M97" i="8"/>
  <c r="S97" i="8"/>
  <c r="T97" i="8"/>
  <c r="D98" i="8"/>
  <c r="S98" i="8"/>
  <c r="T98" i="8"/>
  <c r="D99" i="8"/>
  <c r="M99" i="8"/>
  <c r="S99" i="8"/>
  <c r="T99" i="8"/>
  <c r="D100" i="8"/>
  <c r="M100" i="8"/>
  <c r="P100" i="8"/>
  <c r="Q100" i="8"/>
  <c r="R100" i="8"/>
  <c r="S100" i="8"/>
  <c r="T100" i="8"/>
  <c r="D105" i="8"/>
  <c r="S105" i="8"/>
  <c r="D108" i="8"/>
  <c r="S108" i="8"/>
  <c r="T108" i="8"/>
  <c r="D109" i="8"/>
  <c r="S109" i="8"/>
  <c r="T109" i="8"/>
  <c r="D110" i="8"/>
  <c r="S110" i="8"/>
  <c r="T110" i="8"/>
  <c r="D111" i="8"/>
  <c r="S111" i="8"/>
  <c r="T111" i="8"/>
  <c r="D112" i="8"/>
  <c r="S112" i="8"/>
  <c r="T112" i="8"/>
  <c r="D113" i="8"/>
  <c r="S113" i="8"/>
  <c r="T113" i="8"/>
  <c r="D114" i="8"/>
  <c r="S114" i="8"/>
  <c r="T114" i="8"/>
  <c r="D115" i="8"/>
  <c r="S115" i="8"/>
  <c r="T115" i="8"/>
  <c r="D120" i="8"/>
  <c r="S120" i="8"/>
  <c r="D123" i="8"/>
  <c r="S123" i="8"/>
  <c r="T123" i="8"/>
  <c r="D124" i="8"/>
  <c r="S124" i="8"/>
  <c r="T124" i="8"/>
  <c r="D125" i="8"/>
  <c r="S125" i="8"/>
  <c r="T125" i="8"/>
  <c r="D126" i="8"/>
  <c r="S126" i="8"/>
  <c r="T126" i="8"/>
  <c r="D127" i="8"/>
  <c r="S127" i="8"/>
  <c r="T127" i="8"/>
  <c r="D128" i="8"/>
  <c r="S128" i="8"/>
  <c r="T128" i="8"/>
  <c r="D129" i="8"/>
  <c r="M129" i="8"/>
  <c r="P129" i="8"/>
  <c r="Q129" i="8"/>
  <c r="R129" i="8"/>
  <c r="S129" i="8"/>
  <c r="T129" i="8"/>
  <c r="D134" i="8"/>
  <c r="S134" i="8"/>
  <c r="D137" i="8"/>
  <c r="M137" i="8"/>
  <c r="S137" i="8"/>
  <c r="T137" i="8"/>
  <c r="D138" i="8"/>
  <c r="M138" i="8"/>
  <c r="S138" i="8"/>
  <c r="T138" i="8"/>
  <c r="D139" i="8"/>
  <c r="M139" i="8"/>
  <c r="S139" i="8"/>
  <c r="T139" i="8"/>
  <c r="D140" i="8"/>
  <c r="S140" i="8"/>
  <c r="T140" i="8"/>
  <c r="D141" i="8"/>
  <c r="S141" i="8"/>
  <c r="T141" i="8"/>
  <c r="D142" i="8"/>
  <c r="S142" i="8"/>
  <c r="T142" i="8"/>
  <c r="D143" i="8"/>
  <c r="S143" i="8"/>
  <c r="T143" i="8"/>
  <c r="D144" i="8"/>
  <c r="S144" i="8"/>
  <c r="T144" i="8"/>
  <c r="D145" i="8"/>
  <c r="M145" i="8"/>
  <c r="P145" i="8"/>
  <c r="Q145" i="8"/>
  <c r="R145" i="8"/>
  <c r="S145" i="8"/>
  <c r="T145" i="8"/>
  <c r="F152" i="8"/>
  <c r="P152" i="8"/>
  <c r="Q152" i="8"/>
  <c r="F153" i="8"/>
  <c r="P153" i="8"/>
  <c r="Q153" i="8"/>
  <c r="F154" i="8"/>
  <c r="O154" i="8"/>
  <c r="P154" i="8"/>
  <c r="Q154" i="8"/>
  <c r="F155" i="8"/>
  <c r="Q155" i="8"/>
  <c r="F156" i="8"/>
  <c r="P156" i="8"/>
  <c r="Q156" i="8"/>
  <c r="F157" i="8"/>
  <c r="P157" i="8"/>
  <c r="Q157" i="8"/>
  <c r="F158" i="8"/>
  <c r="P158" i="8"/>
  <c r="Q158" i="8"/>
  <c r="F159" i="8"/>
  <c r="Q159" i="8"/>
  <c r="F160" i="8"/>
  <c r="P160" i="8"/>
  <c r="Q160" i="8"/>
  <c r="F166" i="8"/>
  <c r="Q166" i="8"/>
  <c r="F167" i="8"/>
  <c r="Q167" i="8"/>
  <c r="F168" i="8"/>
  <c r="P168" i="8"/>
  <c r="Q168" i="8"/>
  <c r="F169" i="8"/>
  <c r="P169" i="8"/>
  <c r="Q169" i="8"/>
  <c r="D174" i="8"/>
  <c r="D175" i="8"/>
  <c r="D176" i="8"/>
  <c r="D178" i="8"/>
  <c r="I178" i="8"/>
  <c r="D182" i="8"/>
  <c r="I182" i="8"/>
  <c r="F194" i="8"/>
  <c r="F198" i="8"/>
  <c r="D202" i="8"/>
  <c r="S202" i="8"/>
  <c r="C205" i="8"/>
  <c r="D205" i="8"/>
  <c r="E205" i="8"/>
  <c r="S205" i="8"/>
  <c r="T205" i="8"/>
  <c r="C206" i="8"/>
  <c r="D206" i="8"/>
  <c r="E206" i="8"/>
  <c r="S206" i="8"/>
  <c r="T206" i="8"/>
  <c r="C207" i="8"/>
  <c r="D207" i="8"/>
  <c r="E207" i="8"/>
  <c r="S207" i="8"/>
  <c r="T207" i="8"/>
  <c r="C208" i="8"/>
  <c r="E208" i="8"/>
  <c r="I208" i="8"/>
  <c r="F214" i="8"/>
  <c r="P214" i="8"/>
  <c r="Q214" i="8"/>
  <c r="F215" i="8"/>
  <c r="P215" i="8"/>
  <c r="Q215" i="8"/>
  <c r="F216" i="8"/>
  <c r="P216" i="8"/>
  <c r="Q216" i="8"/>
  <c r="F217" i="8"/>
  <c r="Q217" i="8"/>
  <c r="F218" i="8"/>
  <c r="P218" i="8"/>
  <c r="Q218" i="8"/>
  <c r="D229" i="8"/>
  <c r="S229" i="8"/>
  <c r="D232" i="8"/>
  <c r="S232" i="8"/>
  <c r="T232" i="8"/>
  <c r="D233" i="8"/>
  <c r="S233" i="8"/>
  <c r="T233" i="8"/>
  <c r="D234" i="8"/>
  <c r="S234" i="8"/>
  <c r="T234" i="8"/>
  <c r="D235" i="8"/>
  <c r="S235" i="8"/>
  <c r="T235" i="8"/>
  <c r="D236" i="8"/>
  <c r="S236" i="8"/>
  <c r="T236" i="8"/>
  <c r="D237" i="8"/>
  <c r="S237" i="8"/>
  <c r="T237" i="8"/>
  <c r="D242" i="8"/>
  <c r="S242" i="8"/>
  <c r="D245" i="8"/>
  <c r="M245" i="8"/>
  <c r="S245" i="8"/>
  <c r="T245" i="8"/>
  <c r="D246" i="8"/>
  <c r="S246" i="8"/>
  <c r="T246" i="8"/>
  <c r="D247" i="8"/>
  <c r="S247" i="8"/>
  <c r="T247" i="8"/>
  <c r="D248" i="8"/>
  <c r="S248" i="8"/>
  <c r="T248" i="8"/>
  <c r="D249" i="8"/>
  <c r="S249" i="8"/>
  <c r="T249" i="8"/>
  <c r="D250" i="8"/>
  <c r="S250" i="8"/>
  <c r="T250" i="8"/>
  <c r="D251" i="8"/>
  <c r="M251" i="8"/>
  <c r="P251" i="8"/>
  <c r="Q251" i="8"/>
  <c r="R251" i="8"/>
  <c r="S251" i="8"/>
  <c r="T251" i="8"/>
  <c r="D256" i="8"/>
  <c r="E265" i="8"/>
  <c r="E268" i="8"/>
  <c r="F273" i="8"/>
  <c r="P273" i="8"/>
  <c r="Q273" i="8"/>
  <c r="E279" i="8"/>
  <c r="F279" i="8"/>
  <c r="G279" i="8"/>
  <c r="I279" i="8"/>
  <c r="D283" i="8"/>
  <c r="S283" i="8"/>
  <c r="D286" i="8"/>
  <c r="S286" i="8"/>
  <c r="T286" i="8"/>
  <c r="D287" i="8"/>
  <c r="S287" i="8"/>
  <c r="T287" i="8"/>
  <c r="D288" i="8"/>
  <c r="S288" i="8"/>
  <c r="T288" i="8"/>
  <c r="D289" i="8"/>
  <c r="S289" i="8"/>
  <c r="T289" i="8"/>
  <c r="D290" i="8"/>
  <c r="S290" i="8"/>
  <c r="T290" i="8"/>
  <c r="D291" i="8"/>
  <c r="S291" i="8"/>
  <c r="T291" i="8"/>
  <c r="D296" i="8"/>
  <c r="S296" i="8"/>
  <c r="D299" i="8"/>
  <c r="M299" i="8"/>
  <c r="S299" i="8"/>
  <c r="T299" i="8"/>
  <c r="D300" i="8"/>
  <c r="S300" i="8"/>
  <c r="T300" i="8"/>
  <c r="D301" i="8"/>
  <c r="S301" i="8"/>
  <c r="T301" i="8"/>
  <c r="D302" i="8"/>
  <c r="S302" i="8"/>
  <c r="T302" i="8"/>
  <c r="D303" i="8"/>
  <c r="S303" i="8"/>
  <c r="T303" i="8"/>
  <c r="D304" i="8"/>
  <c r="S304" i="8"/>
  <c r="T304" i="8"/>
  <c r="D305" i="8"/>
  <c r="M305" i="8"/>
  <c r="P305" i="8"/>
  <c r="Q305" i="8"/>
  <c r="R305" i="8"/>
  <c r="S305" i="8"/>
  <c r="T305" i="8"/>
  <c r="D310" i="8"/>
  <c r="D8" i="9"/>
  <c r="C10" i="9"/>
  <c r="C15" i="9"/>
  <c r="D15" i="9"/>
  <c r="E20" i="9"/>
  <c r="E25" i="9"/>
  <c r="D29" i="9"/>
  <c r="S29" i="9"/>
  <c r="D32" i="9"/>
  <c r="S32" i="9"/>
  <c r="T32" i="9"/>
  <c r="D33" i="9"/>
  <c r="S33" i="9"/>
  <c r="T33" i="9"/>
  <c r="D34" i="9"/>
  <c r="S34" i="9"/>
  <c r="T34" i="9"/>
  <c r="D39" i="9"/>
  <c r="S39" i="9"/>
  <c r="D42" i="9"/>
  <c r="S42" i="9"/>
  <c r="T42" i="9"/>
  <c r="D43" i="9"/>
  <c r="S43" i="9"/>
  <c r="T43" i="9"/>
  <c r="C44" i="9"/>
  <c r="D44" i="9"/>
  <c r="E44" i="9"/>
  <c r="S44" i="9"/>
  <c r="T44" i="9"/>
  <c r="F51" i="9"/>
  <c r="O51" i="9"/>
  <c r="P51" i="9"/>
  <c r="Q51" i="9"/>
  <c r="F52" i="9"/>
  <c r="O52" i="9"/>
  <c r="Q52" i="9"/>
  <c r="F53" i="9"/>
  <c r="O53" i="9"/>
  <c r="Q53" i="9"/>
  <c r="F54" i="9"/>
  <c r="O54" i="9"/>
  <c r="Q54" i="9"/>
  <c r="F55" i="9"/>
  <c r="O55" i="9"/>
  <c r="Q55" i="9"/>
  <c r="F56" i="9"/>
  <c r="O56" i="9"/>
  <c r="P56" i="9"/>
  <c r="Q56" i="9"/>
  <c r="F57" i="9"/>
  <c r="O57" i="9"/>
  <c r="P57" i="9"/>
  <c r="Q57" i="9"/>
  <c r="F58" i="9"/>
  <c r="O58" i="9"/>
  <c r="P58" i="9"/>
  <c r="Q58" i="9"/>
  <c r="F59" i="9"/>
  <c r="O59" i="9"/>
  <c r="Q59" i="9"/>
  <c r="F60" i="9"/>
  <c r="O60" i="9"/>
  <c r="P60" i="9"/>
  <c r="Q60" i="9"/>
  <c r="D72" i="9"/>
  <c r="S72" i="9"/>
  <c r="D75" i="9"/>
  <c r="S75" i="9"/>
  <c r="T75" i="9"/>
  <c r="D76" i="9"/>
  <c r="S76" i="9"/>
  <c r="T76" i="9"/>
  <c r="D77" i="9"/>
  <c r="S77" i="9"/>
  <c r="T77" i="9"/>
  <c r="D78" i="9"/>
  <c r="S78" i="9"/>
  <c r="T78" i="9"/>
  <c r="D79" i="9"/>
  <c r="S79" i="9"/>
  <c r="T79" i="9"/>
  <c r="D80" i="9"/>
  <c r="S80" i="9"/>
  <c r="T80" i="9"/>
  <c r="D81" i="9"/>
  <c r="M81" i="9"/>
  <c r="P81" i="9"/>
  <c r="Q81" i="9"/>
  <c r="R81" i="9"/>
  <c r="S81" i="9"/>
  <c r="T81" i="9"/>
  <c r="D86" i="9"/>
  <c r="S86" i="9"/>
  <c r="D89" i="9"/>
  <c r="M89" i="9"/>
  <c r="S89" i="9"/>
  <c r="T89" i="9"/>
  <c r="D90" i="9"/>
  <c r="S90" i="9"/>
  <c r="T90" i="9"/>
  <c r="D91" i="9"/>
  <c r="S91" i="9"/>
  <c r="T91" i="9"/>
  <c r="D92" i="9"/>
  <c r="M92" i="9"/>
  <c r="S92" i="9"/>
  <c r="T92" i="9"/>
  <c r="D93" i="9"/>
  <c r="S93" i="9"/>
  <c r="T93" i="9"/>
  <c r="D94" i="9"/>
  <c r="M94" i="9"/>
  <c r="S94" i="9"/>
  <c r="T94" i="9"/>
  <c r="D95" i="9"/>
  <c r="E95" i="9"/>
  <c r="S95" i="9"/>
  <c r="T95" i="9"/>
  <c r="D96" i="9"/>
  <c r="M96" i="9"/>
  <c r="P96" i="9"/>
  <c r="Q96" i="9"/>
  <c r="R96" i="9"/>
  <c r="S96" i="9"/>
  <c r="T96" i="9"/>
  <c r="D101" i="9"/>
  <c r="S101" i="9"/>
  <c r="D104" i="9"/>
  <c r="S104" i="9"/>
  <c r="T104" i="9"/>
  <c r="D105" i="9"/>
  <c r="S105" i="9"/>
  <c r="T105" i="9"/>
  <c r="D106" i="9"/>
  <c r="S106" i="9"/>
  <c r="T106" i="9"/>
  <c r="D107" i="9"/>
  <c r="S107" i="9"/>
  <c r="T107" i="9"/>
  <c r="D108" i="9"/>
  <c r="S108" i="9"/>
  <c r="T108" i="9"/>
  <c r="D109" i="9"/>
  <c r="S109" i="9"/>
  <c r="T109" i="9"/>
  <c r="D110" i="9"/>
  <c r="S110" i="9"/>
  <c r="T110" i="9"/>
  <c r="D111" i="9"/>
  <c r="S111" i="9"/>
  <c r="T111" i="9"/>
  <c r="D116" i="9"/>
  <c r="S116" i="9"/>
  <c r="D119" i="9"/>
  <c r="S119" i="9"/>
  <c r="T119" i="9"/>
  <c r="D120" i="9"/>
  <c r="S120" i="9"/>
  <c r="T120" i="9"/>
  <c r="D121" i="9"/>
  <c r="S121" i="9"/>
  <c r="T121" i="9"/>
  <c r="D122" i="9"/>
  <c r="S122" i="9"/>
  <c r="T122" i="9"/>
  <c r="D123" i="9"/>
  <c r="S123" i="9"/>
  <c r="T123" i="9"/>
  <c r="D124" i="9"/>
  <c r="S124" i="9"/>
  <c r="T124" i="9"/>
  <c r="D125" i="9"/>
  <c r="M125" i="9"/>
  <c r="P125" i="9"/>
  <c r="Q125" i="9"/>
  <c r="R125" i="9"/>
  <c r="S125" i="9"/>
  <c r="T125" i="9"/>
  <c r="D130" i="9"/>
  <c r="S130" i="9"/>
  <c r="D133" i="9"/>
  <c r="M133" i="9"/>
  <c r="S133" i="9"/>
  <c r="T133" i="9"/>
  <c r="D134" i="9"/>
  <c r="M134" i="9"/>
  <c r="S134" i="9"/>
  <c r="T134" i="9"/>
  <c r="D135" i="9"/>
  <c r="M135" i="9"/>
  <c r="S135" i="9"/>
  <c r="T135" i="9"/>
  <c r="D136" i="9"/>
  <c r="S136" i="9"/>
  <c r="T136" i="9"/>
  <c r="D137" i="9"/>
  <c r="S137" i="9"/>
  <c r="T137" i="9"/>
  <c r="D138" i="9"/>
  <c r="S138" i="9"/>
  <c r="T138" i="9"/>
  <c r="D139" i="9"/>
  <c r="S139" i="9"/>
  <c r="T139" i="9"/>
  <c r="D140" i="9"/>
  <c r="S140" i="9"/>
  <c r="T140" i="9"/>
  <c r="D141" i="9"/>
  <c r="M141" i="9"/>
  <c r="P141" i="9"/>
  <c r="Q141" i="9"/>
  <c r="R141" i="9"/>
  <c r="S141" i="9"/>
  <c r="T141" i="9"/>
  <c r="F148" i="9"/>
  <c r="O148" i="9"/>
  <c r="P148" i="9"/>
  <c r="Q148" i="9"/>
  <c r="F149" i="9"/>
  <c r="O149" i="9"/>
  <c r="P149" i="9"/>
  <c r="Q149" i="9"/>
  <c r="F150" i="9"/>
  <c r="O150" i="9"/>
  <c r="P150" i="9"/>
  <c r="Q150" i="9"/>
  <c r="F151" i="9"/>
  <c r="O151" i="9"/>
  <c r="Q151" i="9"/>
  <c r="F152" i="9"/>
  <c r="O152" i="9"/>
  <c r="P152" i="9"/>
  <c r="Q152" i="9"/>
  <c r="F153" i="9"/>
  <c r="O153" i="9"/>
  <c r="P153" i="9"/>
  <c r="Q153" i="9"/>
  <c r="F154" i="9"/>
  <c r="O154" i="9"/>
  <c r="P154" i="9"/>
  <c r="Q154" i="9"/>
  <c r="F155" i="9"/>
  <c r="O155" i="9"/>
  <c r="Q155" i="9"/>
  <c r="F156" i="9"/>
  <c r="O156" i="9"/>
  <c r="P156" i="9"/>
  <c r="Q156" i="9"/>
  <c r="F162" i="9"/>
  <c r="O162" i="9"/>
  <c r="Q162" i="9"/>
  <c r="F163" i="9"/>
  <c r="O163" i="9"/>
  <c r="Q163" i="9"/>
  <c r="F164" i="9"/>
  <c r="O164" i="9"/>
  <c r="P164" i="9"/>
  <c r="Q164" i="9"/>
  <c r="F165" i="9"/>
  <c r="O165" i="9"/>
  <c r="P165" i="9"/>
  <c r="Q165" i="9"/>
  <c r="D170" i="9"/>
  <c r="D171" i="9"/>
  <c r="D172" i="9"/>
  <c r="D174" i="9"/>
  <c r="I174" i="9"/>
  <c r="D178" i="9"/>
  <c r="I178" i="9"/>
  <c r="F190" i="9"/>
  <c r="F194" i="9"/>
  <c r="D198" i="9"/>
  <c r="S198" i="9"/>
  <c r="C201" i="9"/>
  <c r="D201" i="9"/>
  <c r="E201" i="9"/>
  <c r="S201" i="9"/>
  <c r="T201" i="9"/>
  <c r="C202" i="9"/>
  <c r="D202" i="9"/>
  <c r="E202" i="9"/>
  <c r="S202" i="9"/>
  <c r="T202" i="9"/>
  <c r="C203" i="9"/>
  <c r="D203" i="9"/>
  <c r="E203" i="9"/>
  <c r="S203" i="9"/>
  <c r="T203" i="9"/>
  <c r="C204" i="9"/>
  <c r="E204" i="9"/>
  <c r="I204" i="9"/>
  <c r="F210" i="9"/>
  <c r="O210" i="9"/>
  <c r="P210" i="9"/>
  <c r="Q210" i="9"/>
  <c r="F211" i="9"/>
  <c r="O211" i="9"/>
  <c r="P211" i="9"/>
  <c r="Q211" i="9"/>
  <c r="F212" i="9"/>
  <c r="O212" i="9"/>
  <c r="P212" i="9"/>
  <c r="Q212" i="9"/>
  <c r="F213" i="9"/>
  <c r="O213" i="9"/>
  <c r="Q213" i="9"/>
  <c r="F214" i="9"/>
  <c r="O214" i="9"/>
  <c r="P214" i="9"/>
  <c r="Q214" i="9"/>
  <c r="D225" i="9"/>
  <c r="S225" i="9"/>
  <c r="D228" i="9"/>
  <c r="S228" i="9"/>
  <c r="T228" i="9"/>
  <c r="D229" i="9"/>
  <c r="S229" i="9"/>
  <c r="T229" i="9"/>
  <c r="D230" i="9"/>
  <c r="S230" i="9"/>
  <c r="T230" i="9"/>
  <c r="D231" i="9"/>
  <c r="S231" i="9"/>
  <c r="T231" i="9"/>
  <c r="D232" i="9"/>
  <c r="S232" i="9"/>
  <c r="T232" i="9"/>
  <c r="D233" i="9"/>
  <c r="S233" i="9"/>
  <c r="T233" i="9"/>
  <c r="D238" i="9"/>
  <c r="S238" i="9"/>
  <c r="D241" i="9"/>
  <c r="M241" i="9"/>
  <c r="S241" i="9"/>
  <c r="T241" i="9"/>
  <c r="D242" i="9"/>
  <c r="S242" i="9"/>
  <c r="T242" i="9"/>
  <c r="D243" i="9"/>
  <c r="S243" i="9"/>
  <c r="T243" i="9"/>
  <c r="D244" i="9"/>
  <c r="S244" i="9"/>
  <c r="T244" i="9"/>
  <c r="D245" i="9"/>
  <c r="S245" i="9"/>
  <c r="T245" i="9"/>
  <c r="D246" i="9"/>
  <c r="S246" i="9"/>
  <c r="T246" i="9"/>
  <c r="D247" i="9"/>
  <c r="M247" i="9"/>
  <c r="P247" i="9"/>
  <c r="Q247" i="9"/>
  <c r="R247" i="9"/>
  <c r="S247" i="9"/>
  <c r="T247" i="9"/>
  <c r="D252" i="9"/>
  <c r="E261" i="9"/>
  <c r="E264" i="9"/>
  <c r="F267" i="9"/>
  <c r="P267" i="9"/>
  <c r="Q267" i="9"/>
  <c r="E274" i="9"/>
  <c r="F274" i="9"/>
  <c r="G274" i="9"/>
  <c r="I274" i="9"/>
  <c r="D278" i="9"/>
  <c r="S278" i="9"/>
  <c r="D281" i="9"/>
  <c r="S281" i="9"/>
  <c r="T281" i="9"/>
  <c r="D282" i="9"/>
  <c r="S282" i="9"/>
  <c r="T282" i="9"/>
  <c r="D283" i="9"/>
  <c r="S283" i="9"/>
  <c r="T283" i="9"/>
  <c r="D284" i="9"/>
  <c r="S284" i="9"/>
  <c r="T284" i="9"/>
  <c r="D285" i="9"/>
  <c r="S285" i="9"/>
  <c r="T285" i="9"/>
  <c r="D286" i="9"/>
  <c r="S286" i="9"/>
  <c r="T286" i="9"/>
  <c r="D291" i="9"/>
  <c r="S291" i="9"/>
  <c r="D294" i="9"/>
  <c r="M294" i="9"/>
  <c r="S294" i="9"/>
  <c r="T294" i="9"/>
  <c r="D295" i="9"/>
  <c r="S295" i="9"/>
  <c r="T295" i="9"/>
  <c r="D296" i="9"/>
  <c r="S296" i="9"/>
  <c r="T296" i="9"/>
  <c r="D297" i="9"/>
  <c r="S297" i="9"/>
  <c r="T297" i="9"/>
  <c r="D298" i="9"/>
  <c r="S298" i="9"/>
  <c r="T298" i="9"/>
  <c r="D299" i="9"/>
  <c r="S299" i="9"/>
  <c r="T299" i="9"/>
  <c r="D300" i="9"/>
  <c r="M300" i="9"/>
  <c r="P300" i="9"/>
  <c r="Q300" i="9"/>
  <c r="R300" i="9"/>
  <c r="S300" i="9"/>
  <c r="T300" i="9"/>
  <c r="D305" i="9"/>
  <c r="L5" i="7"/>
  <c r="C44" i="7" s="1"/>
  <c r="L6" i="7"/>
  <c r="G7" i="7"/>
  <c r="L7" i="7"/>
  <c r="F48" i="7" s="1"/>
  <c r="G8" i="7"/>
  <c r="G14" i="7" s="1"/>
  <c r="L8" i="7"/>
  <c r="L9" i="7"/>
  <c r="L10" i="7"/>
  <c r="L11" i="7"/>
  <c r="E14" i="7"/>
  <c r="E18" i="7"/>
  <c r="E19" i="7"/>
  <c r="E22" i="7"/>
  <c r="H22" i="7" s="1"/>
  <c r="E23" i="7"/>
  <c r="H23" i="7"/>
  <c r="B91" i="7" s="1"/>
  <c r="G32" i="7"/>
  <c r="H32" i="7" s="1"/>
  <c r="G33" i="7"/>
  <c r="H33" i="7"/>
  <c r="G34" i="7"/>
  <c r="H34" i="7" s="1"/>
  <c r="G35" i="7"/>
  <c r="H35" i="7"/>
  <c r="B97" i="7" s="1"/>
  <c r="E36" i="7"/>
  <c r="E37" i="7"/>
  <c r="F37" i="7"/>
  <c r="H37" i="7" s="1"/>
  <c r="G37" i="7"/>
  <c r="C46" i="7"/>
  <c r="G46" i="7" s="1"/>
  <c r="F47" i="7"/>
  <c r="I47" i="7"/>
  <c r="J47" i="7"/>
  <c r="F52" i="7"/>
  <c r="M93" i="7"/>
  <c r="M94" i="7"/>
  <c r="M100" i="7"/>
  <c r="M101" i="7"/>
  <c r="D130" i="7"/>
  <c r="D134" i="7"/>
  <c r="D135" i="7"/>
  <c r="D136" i="7"/>
  <c r="D137" i="7"/>
  <c r="C141" i="7"/>
  <c r="C142" i="7"/>
  <c r="H142" i="7"/>
  <c r="C143" i="7"/>
  <c r="C144" i="7"/>
  <c r="C145" i="7"/>
  <c r="C150" i="7"/>
  <c r="D150" i="7"/>
  <c r="E150" i="7"/>
  <c r="C151" i="7"/>
  <c r="D151" i="7"/>
  <c r="E151" i="7"/>
  <c r="C152" i="7"/>
  <c r="D152" i="7"/>
  <c r="E152" i="7"/>
  <c r="C156" i="7"/>
  <c r="C157" i="7"/>
  <c r="C158" i="7"/>
  <c r="C159" i="7"/>
  <c r="C160" i="7"/>
  <c r="C167" i="7"/>
  <c r="D167" i="7"/>
  <c r="E167" i="7"/>
  <c r="F167" i="7"/>
  <c r="C169" i="7"/>
  <c r="D169" i="7"/>
  <c r="E169" i="7"/>
  <c r="F169" i="7"/>
  <c r="C173" i="7"/>
  <c r="C174" i="7"/>
  <c r="C175" i="7"/>
  <c r="C176" i="7"/>
  <c r="C177" i="7"/>
  <c r="L193" i="7"/>
  <c r="L194" i="7"/>
  <c r="H208" i="7"/>
  <c r="O227" i="7"/>
  <c r="R227" i="7"/>
  <c r="R228" i="7"/>
  <c r="O229" i="7"/>
  <c r="R229" i="7"/>
  <c r="R230" i="7"/>
  <c r="D241" i="7"/>
  <c r="F241" i="7"/>
  <c r="D242" i="7"/>
  <c r="F242" i="7"/>
  <c r="D243" i="7"/>
  <c r="F243" i="7"/>
  <c r="I243" i="7"/>
  <c r="I244" i="7"/>
  <c r="I245" i="7"/>
  <c r="I246" i="7"/>
  <c r="K5" i="6"/>
  <c r="M5" i="6"/>
  <c r="K6" i="6"/>
  <c r="M6" i="6"/>
  <c r="C7" i="6"/>
  <c r="D7" i="6"/>
  <c r="E7" i="6"/>
  <c r="F7" i="6"/>
  <c r="K7" i="6"/>
  <c r="F47" i="6" s="1"/>
  <c r="O7" i="6"/>
  <c r="P7" i="6"/>
  <c r="C8" i="6"/>
  <c r="C36" i="6" s="1"/>
  <c r="D8" i="6"/>
  <c r="D36" i="6" s="1"/>
  <c r="E8" i="6"/>
  <c r="F8" i="6"/>
  <c r="F19" i="6" s="1"/>
  <c r="K8" i="6"/>
  <c r="M8" i="6"/>
  <c r="C9" i="6"/>
  <c r="K9" i="6"/>
  <c r="M9" i="6"/>
  <c r="K10" i="6"/>
  <c r="K11" i="6"/>
  <c r="M11" i="6"/>
  <c r="C15" i="6"/>
  <c r="C18" i="6"/>
  <c r="L18" i="6"/>
  <c r="C19" i="6"/>
  <c r="D19" i="6"/>
  <c r="L19" i="6"/>
  <c r="N19" i="6"/>
  <c r="T19" i="6"/>
  <c r="Q20" i="6"/>
  <c r="R20" i="6"/>
  <c r="L22" i="6"/>
  <c r="C24" i="6"/>
  <c r="C25" i="6"/>
  <c r="J25" i="6"/>
  <c r="K25" i="6"/>
  <c r="C26" i="6"/>
  <c r="J26" i="6"/>
  <c r="K26" i="6"/>
  <c r="C27" i="6"/>
  <c r="J27" i="6"/>
  <c r="K27" i="6"/>
  <c r="Q27" i="6"/>
  <c r="J28" i="6"/>
  <c r="K28" i="6"/>
  <c r="J29" i="6"/>
  <c r="K29" i="6"/>
  <c r="J30" i="6"/>
  <c r="K30" i="6"/>
  <c r="J31" i="6"/>
  <c r="K31" i="6"/>
  <c r="J32" i="6"/>
  <c r="K32" i="6"/>
  <c r="I36" i="6"/>
  <c r="C37" i="6"/>
  <c r="D37" i="6"/>
  <c r="G37" i="6" s="1"/>
  <c r="E37" i="6"/>
  <c r="F37" i="6"/>
  <c r="I47" i="6"/>
  <c r="J47" i="6"/>
  <c r="F48" i="6"/>
  <c r="D70" i="6"/>
  <c r="F70" i="6"/>
  <c r="L103" i="6"/>
  <c r="L104" i="6"/>
  <c r="L109" i="6"/>
  <c r="L110" i="6"/>
  <c r="D136" i="6"/>
  <c r="D140" i="6"/>
  <c r="D141" i="6"/>
  <c r="D142" i="6"/>
  <c r="D143" i="6"/>
  <c r="C147" i="6"/>
  <c r="C148" i="6"/>
  <c r="H148" i="6"/>
  <c r="C149" i="6"/>
  <c r="C150" i="6"/>
  <c r="C151" i="6"/>
  <c r="C156" i="6"/>
  <c r="D156" i="6"/>
  <c r="E156" i="6"/>
  <c r="C157" i="6"/>
  <c r="D157" i="6"/>
  <c r="E157" i="6"/>
  <c r="C158" i="6"/>
  <c r="D158" i="6"/>
  <c r="E158" i="6"/>
  <c r="C162" i="6"/>
  <c r="C163" i="6"/>
  <c r="C164" i="6"/>
  <c r="C165" i="6"/>
  <c r="C166" i="6"/>
  <c r="C173" i="6"/>
  <c r="D173" i="6"/>
  <c r="E173" i="6"/>
  <c r="F173" i="6"/>
  <c r="C175" i="6"/>
  <c r="D175" i="6"/>
  <c r="E175" i="6"/>
  <c r="F175" i="6"/>
  <c r="C181" i="6"/>
  <c r="C182" i="6"/>
  <c r="I211" i="6"/>
  <c r="O233" i="6"/>
  <c r="R233" i="6"/>
  <c r="R234" i="6"/>
  <c r="O235" i="6"/>
  <c r="R235" i="6"/>
  <c r="R236" i="6"/>
  <c r="D247" i="6"/>
  <c r="F247" i="6"/>
  <c r="D248" i="6"/>
  <c r="F248" i="6"/>
  <c r="I248" i="6"/>
  <c r="D249" i="6"/>
  <c r="F249" i="6"/>
  <c r="I249" i="6"/>
  <c r="I250" i="6"/>
  <c r="I251" i="6"/>
  <c r="D253" i="6"/>
  <c r="G253" i="6"/>
  <c r="D254" i="6"/>
  <c r="N4" i="16"/>
  <c r="N5" i="16"/>
  <c r="C7" i="16"/>
  <c r="D7" i="16"/>
  <c r="J7" i="16"/>
  <c r="C14" i="16"/>
  <c r="J14" i="16"/>
  <c r="O14" i="16"/>
  <c r="P14" i="16"/>
  <c r="Q14" i="16"/>
  <c r="R14" i="16"/>
  <c r="S14" i="16"/>
  <c r="W14" i="16"/>
  <c r="C15" i="16"/>
  <c r="J15" i="16"/>
  <c r="O15" i="16"/>
  <c r="P15" i="16"/>
  <c r="Q15" i="16"/>
  <c r="R15" i="16"/>
  <c r="S15" i="16"/>
  <c r="W15" i="16"/>
  <c r="C16" i="16"/>
  <c r="J16" i="16"/>
  <c r="O16" i="16"/>
  <c r="P16" i="16"/>
  <c r="Q16" i="16"/>
  <c r="R16" i="16"/>
  <c r="S16" i="16"/>
  <c r="W16" i="16"/>
  <c r="Z16" i="16"/>
  <c r="C17" i="16"/>
  <c r="J17" i="16"/>
  <c r="O17" i="16"/>
  <c r="P17" i="16"/>
  <c r="Q17" i="16"/>
  <c r="R17" i="16"/>
  <c r="S17" i="16"/>
  <c r="W17" i="16"/>
  <c r="C18" i="16"/>
  <c r="J18" i="16"/>
  <c r="O18" i="16"/>
  <c r="P18" i="16"/>
  <c r="Q18" i="16"/>
  <c r="R18" i="16"/>
  <c r="S18" i="16"/>
  <c r="W18" i="16"/>
  <c r="C19" i="16"/>
  <c r="J19" i="16"/>
  <c r="O19" i="16"/>
  <c r="P19" i="16"/>
  <c r="Q19" i="16"/>
  <c r="S19" i="16"/>
  <c r="W19" i="16"/>
  <c r="C20" i="16"/>
  <c r="J20" i="16"/>
  <c r="O20" i="16"/>
  <c r="P20" i="16"/>
  <c r="Q20" i="16"/>
  <c r="R20" i="16"/>
  <c r="S20" i="16"/>
  <c r="B21" i="16"/>
  <c r="C21" i="16"/>
  <c r="D21" i="16"/>
  <c r="F21" i="16"/>
  <c r="J21" i="16"/>
  <c r="O21" i="16"/>
  <c r="P21" i="16"/>
  <c r="Q21" i="16"/>
  <c r="R21" i="16"/>
  <c r="S21" i="16"/>
  <c r="W21" i="16"/>
  <c r="B25" i="16"/>
  <c r="C25" i="16"/>
  <c r="E25" i="16"/>
  <c r="F25" i="16"/>
  <c r="G25" i="16"/>
  <c r="I25" i="16"/>
  <c r="O25" i="16"/>
  <c r="P25" i="16"/>
  <c r="R25" i="16"/>
  <c r="S25" i="16"/>
  <c r="T25" i="16"/>
  <c r="V25" i="16"/>
  <c r="AL25" i="16"/>
  <c r="AM25" i="16"/>
  <c r="B26" i="16"/>
  <c r="C26" i="16"/>
  <c r="E26" i="16"/>
  <c r="F26" i="16"/>
  <c r="G26" i="16"/>
  <c r="I26" i="16"/>
  <c r="O26" i="16"/>
  <c r="P26" i="16"/>
  <c r="R26" i="16"/>
  <c r="S26" i="16"/>
  <c r="T26" i="16"/>
  <c r="V26" i="16"/>
  <c r="AL26" i="16"/>
  <c r="AM26" i="16"/>
  <c r="B27" i="16"/>
  <c r="C27" i="16"/>
  <c r="E27" i="16"/>
  <c r="F27" i="16"/>
  <c r="G27" i="16"/>
  <c r="I27" i="16"/>
  <c r="O27" i="16"/>
  <c r="P27" i="16"/>
  <c r="R27" i="16"/>
  <c r="S27" i="16"/>
  <c r="T27" i="16"/>
  <c r="V27" i="16"/>
  <c r="AL27" i="16"/>
  <c r="AM27" i="16"/>
  <c r="B28" i="16"/>
  <c r="C28" i="16"/>
  <c r="E28" i="16"/>
  <c r="F28" i="16"/>
  <c r="G28" i="16"/>
  <c r="I28" i="16"/>
  <c r="O28" i="16"/>
  <c r="P28" i="16"/>
  <c r="R28" i="16"/>
  <c r="S28" i="16"/>
  <c r="T28" i="16"/>
  <c r="V28" i="16"/>
  <c r="AL28" i="16"/>
  <c r="AM28" i="16"/>
  <c r="B29" i="16"/>
  <c r="C29" i="16"/>
  <c r="D29" i="16"/>
  <c r="E29" i="16"/>
  <c r="F29" i="16"/>
  <c r="G29" i="16"/>
  <c r="H29" i="16"/>
  <c r="I29" i="16"/>
  <c r="N29" i="16"/>
  <c r="O29" i="16"/>
  <c r="P29" i="16"/>
  <c r="Q29" i="16"/>
  <c r="R29" i="16"/>
  <c r="S29" i="16"/>
  <c r="T29" i="16"/>
  <c r="U29" i="16"/>
  <c r="V29" i="16"/>
  <c r="AL29" i="16"/>
  <c r="AM29" i="16"/>
  <c r="B30" i="16"/>
  <c r="C30" i="16"/>
  <c r="E30" i="16"/>
  <c r="G30" i="16"/>
  <c r="I30" i="16"/>
  <c r="O30" i="16"/>
  <c r="P30" i="16"/>
  <c r="R30" i="16"/>
  <c r="T30" i="16"/>
  <c r="V30" i="16"/>
  <c r="C35" i="16"/>
  <c r="J35" i="16"/>
  <c r="O35" i="16"/>
  <c r="P35" i="16"/>
  <c r="Q35" i="16"/>
  <c r="R35" i="16"/>
  <c r="S35" i="16"/>
  <c r="W35" i="16"/>
  <c r="C36" i="16"/>
  <c r="J36" i="16"/>
  <c r="O36" i="16"/>
  <c r="P36" i="16"/>
  <c r="Q36" i="16"/>
  <c r="R36" i="16"/>
  <c r="S36" i="16"/>
  <c r="W36" i="16"/>
  <c r="C37" i="16"/>
  <c r="J37" i="16"/>
  <c r="O37" i="16"/>
  <c r="P37" i="16"/>
  <c r="Q37" i="16"/>
  <c r="S37" i="16"/>
  <c r="W37" i="16"/>
  <c r="C38" i="16"/>
  <c r="J38" i="16"/>
  <c r="C39" i="16"/>
  <c r="J39" i="16"/>
  <c r="C40" i="16"/>
  <c r="J40" i="16"/>
  <c r="B41" i="16"/>
  <c r="C41" i="16"/>
  <c r="D41" i="16"/>
  <c r="F41" i="16"/>
  <c r="J41" i="16"/>
  <c r="O41" i="16"/>
  <c r="P41" i="16"/>
  <c r="Q41" i="16"/>
  <c r="R41" i="16"/>
  <c r="S41" i="16"/>
  <c r="W41" i="16"/>
  <c r="B48" i="16"/>
  <c r="C48" i="16"/>
  <c r="D48" i="16"/>
  <c r="J9" i="2"/>
  <c r="Q9" i="2"/>
  <c r="B12" i="2"/>
  <c r="F12" i="2"/>
  <c r="J12" i="2"/>
  <c r="B15" i="2"/>
  <c r="F15" i="2"/>
  <c r="J15" i="2"/>
  <c r="B18" i="2"/>
  <c r="F18" i="2"/>
  <c r="J18" i="2"/>
  <c r="B21" i="2"/>
  <c r="F21" i="2"/>
  <c r="J21" i="2"/>
  <c r="B25" i="2"/>
  <c r="F25" i="2"/>
  <c r="J25" i="2"/>
  <c r="B28" i="2"/>
  <c r="F28" i="2"/>
  <c r="J28" i="2"/>
  <c r="B31" i="2"/>
  <c r="F31" i="2"/>
  <c r="J31" i="2"/>
  <c r="B35" i="2"/>
  <c r="F35" i="2"/>
  <c r="J35" i="2"/>
  <c r="B39" i="2"/>
  <c r="F39" i="2"/>
  <c r="J39" i="2"/>
  <c r="E43" i="2"/>
  <c r="F43" i="2"/>
  <c r="G43" i="2"/>
  <c r="H43" i="2"/>
  <c r="I43" i="2"/>
  <c r="J43" i="2"/>
  <c r="K43" i="2"/>
  <c r="L43" i="2"/>
  <c r="M43" i="2"/>
  <c r="N43" i="2"/>
  <c r="O43" i="2"/>
  <c r="P43" i="2"/>
  <c r="F47" i="2"/>
  <c r="F48" i="2"/>
  <c r="H48" i="2"/>
  <c r="F49" i="2"/>
  <c r="I49" i="2"/>
  <c r="F50" i="2"/>
  <c r="G50" i="2"/>
  <c r="H50" i="2"/>
  <c r="I50" i="2"/>
  <c r="D3" i="20"/>
  <c r="F3" i="20"/>
  <c r="G3" i="20"/>
  <c r="H3" i="20"/>
  <c r="I3" i="20"/>
  <c r="F4" i="20"/>
  <c r="G4" i="20"/>
  <c r="H4" i="20"/>
  <c r="I4" i="20"/>
  <c r="F5" i="20"/>
  <c r="G5" i="20"/>
  <c r="H5" i="20"/>
  <c r="I5" i="20"/>
  <c r="F7" i="20"/>
  <c r="I7" i="20"/>
  <c r="C8" i="20"/>
  <c r="D8" i="20"/>
  <c r="F8" i="20"/>
  <c r="G8" i="20"/>
  <c r="H8" i="20"/>
  <c r="I8" i="20"/>
  <c r="C9" i="20"/>
  <c r="D9" i="20"/>
  <c r="F9" i="20"/>
  <c r="G9" i="20"/>
  <c r="H9" i="20"/>
  <c r="I9" i="20"/>
  <c r="C10" i="20"/>
  <c r="D10" i="20"/>
  <c r="E10" i="20"/>
  <c r="F10" i="20"/>
  <c r="G10" i="20"/>
  <c r="H10" i="20"/>
  <c r="I10" i="20"/>
  <c r="C13" i="20"/>
  <c r="F13" i="20"/>
  <c r="G13" i="20"/>
  <c r="H13" i="20"/>
  <c r="C14" i="20"/>
  <c r="F14" i="20"/>
  <c r="G14" i="20"/>
  <c r="H14" i="20"/>
  <c r="H6" i="4"/>
  <c r="I6" i="4"/>
  <c r="J6" i="4"/>
  <c r="K6" i="4"/>
  <c r="L6" i="4"/>
  <c r="M6" i="4"/>
  <c r="H7" i="4"/>
  <c r="I7" i="4"/>
  <c r="J7" i="4"/>
  <c r="K7" i="4"/>
  <c r="L7" i="4"/>
  <c r="M7" i="4"/>
  <c r="H8" i="4"/>
  <c r="I8" i="4"/>
  <c r="J8" i="4"/>
  <c r="K8" i="4"/>
  <c r="L8" i="4"/>
  <c r="M8" i="4"/>
  <c r="H9" i="4"/>
  <c r="I9" i="4"/>
  <c r="J9" i="4"/>
  <c r="K9" i="4"/>
  <c r="L9" i="4"/>
  <c r="M9" i="4"/>
  <c r="H10" i="4"/>
  <c r="I10" i="4"/>
  <c r="J10" i="4"/>
  <c r="K10" i="4"/>
  <c r="L10" i="4"/>
  <c r="M10" i="4"/>
  <c r="H11" i="4"/>
  <c r="I11" i="4"/>
  <c r="J11" i="4"/>
  <c r="K11" i="4"/>
  <c r="L11" i="4"/>
  <c r="M11" i="4"/>
  <c r="Q18" i="4"/>
  <c r="S18" i="4"/>
  <c r="U18" i="4"/>
  <c r="Y18" i="4"/>
  <c r="Z18" i="4"/>
  <c r="AA18" i="4"/>
  <c r="AD18" i="4"/>
  <c r="AE18" i="4"/>
  <c r="AF18" i="4"/>
  <c r="AG18" i="4"/>
  <c r="AJ18" i="4"/>
  <c r="P19" i="4"/>
  <c r="T19" i="4"/>
  <c r="Y19" i="4"/>
  <c r="Z19" i="4"/>
  <c r="AA19" i="4"/>
  <c r="AD19" i="4"/>
  <c r="AE19" i="4"/>
  <c r="AF19" i="4"/>
  <c r="AG19" i="4"/>
  <c r="AJ19" i="4"/>
  <c r="P20" i="4"/>
  <c r="T20" i="4"/>
  <c r="Y20" i="4"/>
  <c r="Z20" i="4"/>
  <c r="AA20" i="4"/>
  <c r="AD20" i="4"/>
  <c r="AE20" i="4"/>
  <c r="AF20" i="4"/>
  <c r="AG20" i="4"/>
  <c r="AJ20" i="4"/>
  <c r="P21" i="4"/>
  <c r="S21" i="4"/>
  <c r="U21" i="4"/>
  <c r="Y21" i="4"/>
  <c r="Z21" i="4"/>
  <c r="AA21" i="4"/>
  <c r="AD21" i="4"/>
  <c r="AE21" i="4"/>
  <c r="AF21" i="4"/>
  <c r="AG21" i="4"/>
  <c r="AJ21" i="4"/>
  <c r="P22" i="4"/>
  <c r="S22" i="4"/>
  <c r="U22" i="4"/>
  <c r="Y22" i="4"/>
  <c r="Z22" i="4"/>
  <c r="AA22" i="4"/>
  <c r="AC22" i="4"/>
  <c r="AD22" i="4"/>
  <c r="AE22" i="4"/>
  <c r="AF22" i="4"/>
  <c r="AJ22" i="4"/>
  <c r="P23" i="4"/>
  <c r="S23" i="4"/>
  <c r="U23" i="4"/>
  <c r="Y23" i="4"/>
  <c r="Z23" i="4"/>
  <c r="AA23" i="4"/>
  <c r="AD23" i="4"/>
  <c r="AE23" i="4"/>
  <c r="AF23" i="4"/>
  <c r="AG23" i="4"/>
  <c r="AH23" i="4"/>
  <c r="AI23" i="4"/>
  <c r="AJ23" i="4"/>
  <c r="R24" i="4"/>
  <c r="V24" i="4"/>
  <c r="Y24" i="4"/>
  <c r="Z24" i="4"/>
  <c r="AA24" i="4"/>
  <c r="AB24" i="4"/>
  <c r="AD24" i="4"/>
  <c r="AE24" i="4"/>
  <c r="AF24" i="4"/>
  <c r="AG24" i="4"/>
  <c r="AJ24" i="4"/>
  <c r="R25" i="4"/>
  <c r="V25" i="4"/>
  <c r="Y25" i="4"/>
  <c r="Z25" i="4"/>
  <c r="AA25" i="4"/>
  <c r="AB25" i="4"/>
  <c r="AD25" i="4"/>
  <c r="AE25" i="4"/>
  <c r="AF25" i="4"/>
  <c r="AG25" i="4"/>
  <c r="AJ25" i="4"/>
  <c r="U26" i="4"/>
  <c r="Y26" i="4"/>
  <c r="Z26" i="4"/>
  <c r="AA26" i="4"/>
  <c r="AD26" i="4"/>
  <c r="AE26" i="4"/>
  <c r="AF26" i="4"/>
  <c r="AG26" i="4"/>
  <c r="AJ26" i="4"/>
  <c r="Q27" i="4"/>
  <c r="U27" i="4"/>
  <c r="W27" i="4"/>
  <c r="Y27" i="4"/>
  <c r="Z27" i="4"/>
  <c r="AA27" i="4"/>
  <c r="AD27" i="4"/>
  <c r="AE27" i="4"/>
  <c r="AF27" i="4"/>
  <c r="AG27" i="4"/>
  <c r="AJ27" i="4"/>
  <c r="Q28" i="4"/>
  <c r="U28" i="4"/>
  <c r="W28" i="4"/>
  <c r="Y28" i="4"/>
  <c r="Z28" i="4"/>
  <c r="AA28" i="4"/>
  <c r="AD28" i="4"/>
  <c r="AE28" i="4"/>
  <c r="AF28" i="4"/>
  <c r="AG28" i="4"/>
  <c r="AJ28" i="4"/>
  <c r="U29" i="4"/>
  <c r="Y29" i="4"/>
  <c r="Z29" i="4"/>
  <c r="AA29" i="4"/>
  <c r="AD29" i="4"/>
  <c r="AE29" i="4"/>
  <c r="AF29" i="4"/>
  <c r="AG29" i="4"/>
  <c r="AJ29" i="4"/>
  <c r="Y30" i="4"/>
  <c r="Z30" i="4"/>
  <c r="AA30" i="4"/>
  <c r="AD30" i="4"/>
  <c r="AE30" i="4"/>
  <c r="AF30" i="4"/>
  <c r="AG30" i="4"/>
  <c r="AJ30" i="4"/>
  <c r="G35" i="4"/>
  <c r="H35" i="4"/>
  <c r="G36" i="4"/>
  <c r="H36" i="4"/>
  <c r="B37" i="4"/>
  <c r="C37" i="4"/>
  <c r="D37" i="4"/>
  <c r="E37" i="4"/>
  <c r="F37" i="4"/>
  <c r="G37" i="4"/>
  <c r="H37" i="4"/>
  <c r="H38" i="4"/>
  <c r="H39" i="4"/>
  <c r="G44" i="4"/>
  <c r="H44" i="4"/>
  <c r="H47" i="4"/>
  <c r="I47" i="4"/>
  <c r="J47" i="4"/>
  <c r="K47" i="4"/>
  <c r="M47" i="4"/>
  <c r="P47" i="4"/>
  <c r="H48" i="4"/>
  <c r="I48" i="4"/>
  <c r="J48" i="4"/>
  <c r="K48" i="4"/>
  <c r="E51" i="4"/>
  <c r="G51" i="4"/>
  <c r="H51" i="4"/>
  <c r="K51" i="4"/>
  <c r="L51" i="4"/>
  <c r="M51" i="4"/>
  <c r="N51" i="4"/>
  <c r="P51" i="4"/>
  <c r="B52" i="4"/>
  <c r="C52" i="4"/>
  <c r="D52" i="4"/>
  <c r="E52" i="4"/>
  <c r="F52" i="4"/>
  <c r="G52" i="4"/>
  <c r="H52" i="4"/>
  <c r="K52" i="4"/>
  <c r="L52" i="4"/>
  <c r="M52" i="4"/>
  <c r="N52" i="4"/>
  <c r="E62" i="4"/>
  <c r="G62" i="4"/>
  <c r="A63" i="4"/>
  <c r="E63" i="4"/>
  <c r="G63" i="4"/>
  <c r="A64" i="4"/>
  <c r="E64" i="4"/>
  <c r="G64" i="4"/>
  <c r="A65" i="4"/>
  <c r="E65" i="4"/>
  <c r="G65" i="4"/>
  <c r="A66" i="4"/>
  <c r="E66" i="4"/>
  <c r="G66" i="4"/>
  <c r="A67" i="4"/>
  <c r="E67" i="4"/>
  <c r="G67" i="4"/>
  <c r="A68" i="4"/>
  <c r="E68" i="4"/>
  <c r="G68" i="4"/>
  <c r="A69" i="4"/>
  <c r="E69" i="4"/>
  <c r="G69" i="4"/>
  <c r="G70" i="4"/>
  <c r="J70" i="4"/>
  <c r="K70" i="4"/>
  <c r="Q70" i="4"/>
  <c r="D71" i="4"/>
  <c r="G71" i="4"/>
  <c r="J71" i="4"/>
  <c r="K71" i="4"/>
  <c r="Q71" i="4"/>
  <c r="Q74" i="4"/>
  <c r="J75" i="4"/>
  <c r="X23" i="18"/>
  <c r="Y23" i="18"/>
  <c r="B24" i="18"/>
  <c r="E24" i="18"/>
  <c r="F24" i="18"/>
  <c r="M24" i="18"/>
  <c r="P24" i="18"/>
  <c r="X24" i="18"/>
  <c r="Y24" i="18"/>
  <c r="E25" i="18"/>
  <c r="F25" i="18"/>
  <c r="M25" i="18"/>
  <c r="P25" i="18"/>
  <c r="S25" i="18"/>
  <c r="V25" i="18"/>
  <c r="X25" i="18"/>
  <c r="Y25" i="18"/>
  <c r="B26" i="18"/>
  <c r="E26" i="18"/>
  <c r="F26" i="18"/>
  <c r="M26" i="18"/>
  <c r="O26" i="18"/>
  <c r="P26" i="18"/>
  <c r="S26" i="18"/>
  <c r="V26" i="18"/>
  <c r="E27" i="18"/>
  <c r="F27" i="18"/>
  <c r="X27" i="18"/>
  <c r="Y27" i="18"/>
  <c r="X31" i="18"/>
  <c r="Y31" i="18"/>
  <c r="B32" i="18"/>
  <c r="E32" i="18"/>
  <c r="F32" i="18"/>
  <c r="M32" i="18"/>
  <c r="O32" i="18"/>
  <c r="P32" i="18"/>
  <c r="X32" i="18"/>
  <c r="Y32" i="18"/>
  <c r="E33" i="18"/>
  <c r="F33" i="18"/>
  <c r="M33" i="18"/>
  <c r="O33" i="18"/>
  <c r="P33" i="18"/>
  <c r="S33" i="18"/>
  <c r="V33" i="18"/>
  <c r="X33" i="18"/>
  <c r="Y33" i="18"/>
  <c r="B34" i="18"/>
  <c r="E34" i="18"/>
  <c r="F34" i="18"/>
  <c r="M34" i="18"/>
  <c r="O34" i="18"/>
  <c r="P34" i="18"/>
  <c r="S34" i="18"/>
  <c r="V34" i="18"/>
  <c r="E35" i="18"/>
  <c r="F35" i="18"/>
  <c r="X35" i="18"/>
  <c r="Y35" i="18"/>
  <c r="B41" i="18"/>
  <c r="C41" i="18"/>
  <c r="B42" i="18"/>
  <c r="C42" i="18"/>
  <c r="B45" i="18"/>
  <c r="C45" i="18"/>
  <c r="D45" i="18"/>
  <c r="C48" i="18"/>
  <c r="C53" i="18"/>
  <c r="C4" i="5"/>
  <c r="D4" i="5"/>
  <c r="H4" i="5"/>
  <c r="I4" i="5"/>
  <c r="J4" i="5"/>
  <c r="K4" i="5"/>
  <c r="L4" i="5"/>
  <c r="N4" i="5"/>
  <c r="O4" i="5"/>
  <c r="P4" i="5"/>
  <c r="Q4" i="5"/>
  <c r="R4" i="5"/>
  <c r="BW5" i="5"/>
  <c r="C15" i="5"/>
  <c r="D15" i="5"/>
  <c r="J15" i="5"/>
  <c r="K15" i="5"/>
  <c r="L15" i="5"/>
  <c r="M15" i="5"/>
  <c r="E19" i="5"/>
  <c r="AB19" i="5"/>
  <c r="AE19" i="5"/>
  <c r="AF19" i="5"/>
  <c r="AB20" i="5"/>
  <c r="AE20" i="5"/>
  <c r="AF20" i="5"/>
  <c r="AB21" i="5"/>
  <c r="AE21" i="5"/>
  <c r="AF21" i="5"/>
  <c r="AB22" i="5"/>
  <c r="AE22" i="5"/>
  <c r="AF22" i="5"/>
  <c r="AB23" i="5"/>
  <c r="AE23" i="5"/>
  <c r="AF23" i="5"/>
  <c r="AB24" i="5"/>
  <c r="AE24" i="5"/>
  <c r="AF24" i="5"/>
  <c r="AB25" i="5"/>
  <c r="AE25" i="5"/>
  <c r="AF25" i="5"/>
  <c r="AB26" i="5"/>
  <c r="AE26" i="5"/>
  <c r="AF26" i="5"/>
  <c r="AB27" i="5"/>
  <c r="AE27" i="5"/>
  <c r="AF27" i="5"/>
  <c r="AB28" i="5"/>
  <c r="AE28" i="5"/>
  <c r="AF28" i="5"/>
  <c r="AB29" i="5"/>
  <c r="AE29" i="5"/>
  <c r="AF29" i="5"/>
  <c r="AB30" i="5"/>
  <c r="AE30" i="5"/>
  <c r="AF30" i="5"/>
  <c r="AB31" i="5"/>
  <c r="AE31" i="5"/>
  <c r="AF31" i="5"/>
  <c r="AB32" i="5"/>
  <c r="AB33" i="5"/>
  <c r="AB34" i="5"/>
  <c r="E43" i="5"/>
  <c r="F43" i="5"/>
  <c r="AA45" i="5"/>
  <c r="AC45" i="5"/>
  <c r="AG45" i="5"/>
  <c r="AI45" i="5"/>
  <c r="H46" i="5"/>
  <c r="I46" i="5"/>
  <c r="J46" i="5"/>
  <c r="K46" i="5"/>
  <c r="L46" i="5"/>
  <c r="M46" i="5"/>
  <c r="O46" i="5"/>
  <c r="AA46" i="5"/>
  <c r="AG46" i="5"/>
  <c r="H47" i="5"/>
  <c r="I47" i="5"/>
  <c r="J47" i="5"/>
  <c r="K47" i="5"/>
  <c r="L47" i="5"/>
  <c r="M47" i="5"/>
  <c r="O47" i="5"/>
  <c r="AA47" i="5"/>
  <c r="AG47" i="5"/>
  <c r="AA48" i="5"/>
  <c r="AG48" i="5"/>
  <c r="AA49" i="5"/>
  <c r="AG49" i="5"/>
  <c r="H50" i="5"/>
  <c r="I50" i="5"/>
  <c r="J50" i="5"/>
  <c r="K50" i="5"/>
  <c r="L50" i="5"/>
  <c r="M50" i="5"/>
  <c r="O50" i="5"/>
  <c r="P50" i="5"/>
  <c r="D3" i="14"/>
  <c r="J4" i="14"/>
  <c r="H9" i="14"/>
  <c r="C16" i="14"/>
  <c r="H17" i="14"/>
  <c r="I17" i="14"/>
  <c r="C18" i="14"/>
  <c r="H18" i="14"/>
  <c r="I18" i="14"/>
  <c r="C25" i="14"/>
  <c r="D25" i="14"/>
  <c r="C26" i="14"/>
  <c r="D26" i="14"/>
  <c r="G33" i="14"/>
  <c r="G34" i="14"/>
  <c r="D40" i="14"/>
  <c r="E41" i="14"/>
  <c r="C48" i="14"/>
  <c r="I48" i="14"/>
  <c r="C49" i="14"/>
  <c r="E49" i="14"/>
  <c r="I49" i="14"/>
  <c r="C56" i="14"/>
  <c r="C3" i="1"/>
  <c r="F3" i="1"/>
  <c r="H3" i="1"/>
  <c r="D72" i="1"/>
  <c r="E72" i="1"/>
  <c r="F72" i="1"/>
  <c r="G72" i="1"/>
  <c r="H72" i="1"/>
  <c r="I72" i="1"/>
  <c r="J72" i="1"/>
  <c r="K72" i="1"/>
  <c r="L72" i="1"/>
  <c r="M72" i="1"/>
  <c r="N72" i="1"/>
  <c r="O72" i="1"/>
  <c r="D73" i="1"/>
  <c r="E73" i="1"/>
  <c r="F73" i="1"/>
  <c r="G73" i="1"/>
  <c r="H73" i="1"/>
  <c r="I73" i="1"/>
  <c r="J73" i="1"/>
  <c r="K73" i="1"/>
  <c r="L73" i="1"/>
  <c r="M73" i="1"/>
  <c r="N73" i="1"/>
  <c r="O73" i="1"/>
  <c r="D74" i="1"/>
  <c r="E74" i="1"/>
  <c r="F74" i="1"/>
  <c r="G74" i="1"/>
  <c r="H74" i="1"/>
  <c r="I74" i="1"/>
  <c r="J74" i="1"/>
  <c r="K74" i="1"/>
  <c r="L74" i="1"/>
  <c r="M74" i="1"/>
  <c r="N74" i="1"/>
  <c r="O74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D79" i="1"/>
  <c r="F79" i="1"/>
  <c r="G79" i="1"/>
  <c r="H79" i="1"/>
  <c r="I79" i="1"/>
  <c r="J79" i="1"/>
  <c r="K79" i="1"/>
  <c r="L79" i="1"/>
  <c r="M79" i="1"/>
  <c r="N79" i="1"/>
  <c r="O79" i="1"/>
  <c r="P79" i="1"/>
  <c r="Q5" i="11"/>
  <c r="J8" i="11"/>
  <c r="S10" i="11"/>
  <c r="U12" i="11"/>
  <c r="D14" i="11"/>
  <c r="E14" i="11"/>
  <c r="F14" i="11"/>
  <c r="G14" i="11"/>
  <c r="H14" i="11"/>
  <c r="I14" i="11"/>
  <c r="D16" i="11"/>
  <c r="E16" i="11"/>
  <c r="H16" i="11"/>
  <c r="I16" i="11"/>
  <c r="J16" i="11"/>
  <c r="Q16" i="11"/>
  <c r="AH16" i="11"/>
  <c r="D18" i="11"/>
  <c r="D15" i="17" s="1"/>
  <c r="E18" i="11"/>
  <c r="W22" i="11"/>
  <c r="V24" i="11"/>
  <c r="W24" i="11"/>
  <c r="O26" i="11"/>
  <c r="V26" i="11"/>
  <c r="W26" i="11"/>
  <c r="V28" i="11"/>
  <c r="W28" i="11"/>
  <c r="M34" i="11"/>
  <c r="O34" i="11"/>
  <c r="Q34" i="11"/>
  <c r="T34" i="11"/>
  <c r="O36" i="11"/>
  <c r="Q36" i="11"/>
  <c r="S36" i="11"/>
  <c r="G46" i="11"/>
  <c r="G48" i="11"/>
  <c r="G50" i="11"/>
  <c r="G52" i="11"/>
  <c r="O52" i="11"/>
  <c r="Q52" i="11"/>
  <c r="S59" i="11"/>
  <c r="Q65" i="11"/>
  <c r="M81" i="11"/>
  <c r="O81" i="11"/>
  <c r="Q81" i="11"/>
  <c r="O83" i="11"/>
  <c r="Q83" i="11"/>
  <c r="S83" i="11"/>
  <c r="G93" i="11"/>
  <c r="G95" i="11"/>
  <c r="G97" i="11"/>
  <c r="G99" i="11"/>
  <c r="O99" i="11"/>
  <c r="Q99" i="11"/>
  <c r="D104" i="11"/>
  <c r="D105" i="11"/>
  <c r="F44" i="7" l="1"/>
  <c r="D13" i="12"/>
  <c r="Q32" i="11"/>
  <c r="W32" i="11"/>
  <c r="T32" i="11" s="1"/>
  <c r="T36" i="11" s="1"/>
  <c r="D13" i="17"/>
  <c r="D97" i="7"/>
  <c r="E52" i="9"/>
  <c r="G52" i="9" s="1"/>
  <c r="E162" i="9"/>
  <c r="G162" i="9" s="1"/>
  <c r="F97" i="7"/>
  <c r="C48" i="7"/>
  <c r="D34" i="12"/>
  <c r="D34" i="17"/>
  <c r="C49" i="7"/>
  <c r="G49" i="7" s="1"/>
  <c r="C45" i="7"/>
  <c r="G45" i="7" s="1"/>
  <c r="C50" i="7"/>
  <c r="G50" i="7" s="1"/>
  <c r="C47" i="7"/>
  <c r="E166" i="8"/>
  <c r="G166" i="8" s="1"/>
  <c r="E156" i="9"/>
  <c r="G156" i="9" s="1"/>
  <c r="F91" i="7"/>
  <c r="H91" i="7"/>
  <c r="C51" i="7"/>
  <c r="G51" i="7" s="1"/>
  <c r="F32" i="6"/>
  <c r="G32" i="6" s="1"/>
  <c r="F31" i="6"/>
  <c r="G31" i="6" s="1"/>
  <c r="F14" i="6"/>
  <c r="F18" i="6"/>
  <c r="F33" i="6"/>
  <c r="G33" i="6" s="1"/>
  <c r="F35" i="6"/>
  <c r="G35" i="6" s="1"/>
  <c r="B103" i="6" s="1"/>
  <c r="B88" i="7"/>
  <c r="M252" i="7"/>
  <c r="C44" i="6"/>
  <c r="F34" i="6"/>
  <c r="G34" i="6" s="1"/>
  <c r="B10" i="9"/>
  <c r="D18" i="6"/>
  <c r="G31" i="7"/>
  <c r="H31" i="7" s="1"/>
  <c r="E21" i="6"/>
  <c r="G21" i="6" s="1"/>
  <c r="D23" i="6"/>
  <c r="G23" i="6" s="1"/>
  <c r="B97" i="6" s="1"/>
  <c r="D14" i="6"/>
  <c r="C14" i="6"/>
  <c r="D15" i="12"/>
  <c r="D22" i="6"/>
  <c r="G22" i="6" s="1"/>
  <c r="G19" i="7"/>
  <c r="G18" i="7"/>
  <c r="F52" i="6"/>
  <c r="F44" i="6" s="1"/>
  <c r="C20" i="6"/>
  <c r="F15" i="7"/>
  <c r="H15" i="7" s="1"/>
  <c r="B61" i="7" s="1"/>
  <c r="J61" i="7" s="1"/>
  <c r="H61" i="7"/>
  <c r="E149" i="9"/>
  <c r="G149" i="9" s="1"/>
  <c r="H261" i="6"/>
  <c r="M43" i="5"/>
  <c r="J18" i="11" s="1"/>
  <c r="K43" i="5"/>
  <c r="F10" i="7"/>
  <c r="E28" i="6"/>
  <c r="G28" i="6" s="1"/>
  <c r="J43" i="5"/>
  <c r="H18" i="11" s="1"/>
  <c r="F24" i="7"/>
  <c r="F9" i="7"/>
  <c r="H9" i="7" s="1"/>
  <c r="L43" i="5"/>
  <c r="I18" i="11" s="1"/>
  <c r="F25" i="7"/>
  <c r="F21" i="7"/>
  <c r="F11" i="7"/>
  <c r="H11" i="7" s="1"/>
  <c r="E19" i="6"/>
  <c r="G19" i="6" s="1"/>
  <c r="F18" i="7"/>
  <c r="E24" i="6"/>
  <c r="G24" i="6" s="1"/>
  <c r="E9" i="6"/>
  <c r="G9" i="6" s="1"/>
  <c r="E36" i="6"/>
  <c r="G36" i="6" s="1"/>
  <c r="E17" i="6"/>
  <c r="G17" i="6" s="1"/>
  <c r="I43" i="5"/>
  <c r="G18" i="11" s="1"/>
  <c r="C44" i="15"/>
  <c r="E27" i="6"/>
  <c r="G27" i="6" s="1"/>
  <c r="F30" i="7"/>
  <c r="H30" i="7" s="1"/>
  <c r="E16" i="6"/>
  <c r="G16" i="6" s="1"/>
  <c r="E11" i="6"/>
  <c r="G11" i="6" s="1"/>
  <c r="F20" i="7"/>
  <c r="E26" i="6"/>
  <c r="G26" i="6" s="1"/>
  <c r="E20" i="6"/>
  <c r="F29" i="7"/>
  <c r="H29" i="7" s="1"/>
  <c r="F14" i="7"/>
  <c r="H14" i="7" s="1"/>
  <c r="B79" i="7" s="1"/>
  <c r="R43" i="5"/>
  <c r="E30" i="6"/>
  <c r="G30" i="6" s="1"/>
  <c r="Q43" i="5"/>
  <c r="E15" i="6"/>
  <c r="G15" i="6" s="1"/>
  <c r="B61" i="6" s="1"/>
  <c r="F28" i="7"/>
  <c r="H28" i="7" s="1"/>
  <c r="P43" i="5"/>
  <c r="F27" i="7"/>
  <c r="F19" i="7"/>
  <c r="F13" i="7"/>
  <c r="H13" i="7" s="1"/>
  <c r="B64" i="7" s="1"/>
  <c r="O43" i="5"/>
  <c r="F36" i="7"/>
  <c r="F12" i="7"/>
  <c r="N43" i="5"/>
  <c r="E29" i="6"/>
  <c r="G29" i="6" s="1"/>
  <c r="E25" i="6"/>
  <c r="G25" i="6" s="1"/>
  <c r="E10" i="6"/>
  <c r="G10" i="6" s="1"/>
  <c r="F26" i="7"/>
  <c r="C45" i="15"/>
  <c r="E14" i="6"/>
  <c r="H43" i="5"/>
  <c r="F18" i="11" s="1"/>
  <c r="E13" i="6"/>
  <c r="G13" i="6" s="1"/>
  <c r="F17" i="7"/>
  <c r="E18" i="6"/>
  <c r="G18" i="6" s="1"/>
  <c r="E12" i="6"/>
  <c r="G12" i="6" s="1"/>
  <c r="F16" i="7"/>
  <c r="I10" i="9" l="1"/>
  <c r="L10" i="9"/>
  <c r="B15" i="9"/>
  <c r="I15" i="9" s="1"/>
  <c r="F61" i="7"/>
  <c r="C48" i="6"/>
  <c r="D17" i="17"/>
  <c r="C45" i="6"/>
  <c r="B10" i="8"/>
  <c r="C50" i="6"/>
  <c r="G50" i="6" s="1"/>
  <c r="C46" i="6"/>
  <c r="G46" i="6" s="1"/>
  <c r="C47" i="6"/>
  <c r="C49" i="6"/>
  <c r="G49" i="6" s="1"/>
  <c r="C51" i="6"/>
  <c r="G51" i="6" s="1"/>
  <c r="C203" i="6" s="1"/>
  <c r="D17" i="12"/>
  <c r="F88" i="7"/>
  <c r="H88" i="7"/>
  <c r="E155" i="9"/>
  <c r="G155" i="9" s="1"/>
  <c r="D61" i="7"/>
  <c r="E56" i="8"/>
  <c r="G56" i="8" s="1"/>
  <c r="D103" i="6"/>
  <c r="F103" i="6"/>
  <c r="B94" i="6"/>
  <c r="G14" i="6"/>
  <c r="B85" i="6" s="1"/>
  <c r="G20" i="6"/>
  <c r="N34" i="6" s="1"/>
  <c r="E160" i="8"/>
  <c r="G160" i="8" s="1"/>
  <c r="H97" i="6"/>
  <c r="F97" i="6"/>
  <c r="C205" i="6" s="1"/>
  <c r="C99" i="8" s="1"/>
  <c r="E99" i="8" s="1"/>
  <c r="L252" i="7"/>
  <c r="B94" i="7"/>
  <c r="D61" i="6"/>
  <c r="F61" i="6"/>
  <c r="H61" i="6"/>
  <c r="J61" i="6"/>
  <c r="E153" i="8"/>
  <c r="G153" i="8" s="1"/>
  <c r="B64" i="6"/>
  <c r="D151" i="6"/>
  <c r="E153" i="9"/>
  <c r="G153" i="9" s="1"/>
  <c r="D79" i="7"/>
  <c r="F79" i="7"/>
  <c r="H79" i="7"/>
  <c r="D85" i="6"/>
  <c r="F85" i="6"/>
  <c r="E157" i="8"/>
  <c r="G157" i="8" s="1"/>
  <c r="H85" i="6"/>
  <c r="B58" i="7"/>
  <c r="C202" i="6"/>
  <c r="N33" i="6"/>
  <c r="E261" i="6"/>
  <c r="C228" i="6"/>
  <c r="Q261" i="6"/>
  <c r="J203" i="6"/>
  <c r="C215" i="6"/>
  <c r="C127" i="8" s="1"/>
  <c r="E127" i="8" s="1"/>
  <c r="C194" i="6"/>
  <c r="B100" i="6"/>
  <c r="L261" i="6"/>
  <c r="P261" i="6"/>
  <c r="C214" i="6"/>
  <c r="C126" i="8" s="1"/>
  <c r="E126" i="8" s="1"/>
  <c r="C193" i="6"/>
  <c r="C227" i="6"/>
  <c r="J202" i="6"/>
  <c r="R261" i="6"/>
  <c r="C216" i="6"/>
  <c r="C128" i="8" s="1"/>
  <c r="E128" i="8" s="1"/>
  <c r="C195" i="6"/>
  <c r="J204" i="6"/>
  <c r="D27" i="7" s="1"/>
  <c r="C229" i="6"/>
  <c r="F64" i="7"/>
  <c r="E150" i="9"/>
  <c r="G150" i="9" s="1"/>
  <c r="H64" i="7"/>
  <c r="C230" i="6"/>
  <c r="C217" i="6"/>
  <c r="C129" i="8" s="1"/>
  <c r="E129" i="8" s="1"/>
  <c r="C196" i="6"/>
  <c r="J261" i="6"/>
  <c r="M27" i="6"/>
  <c r="C261" i="6"/>
  <c r="B58" i="6"/>
  <c r="O261" i="6"/>
  <c r="J201" i="6"/>
  <c r="C213" i="6"/>
  <c r="C125" i="8" s="1"/>
  <c r="E125" i="8" s="1"/>
  <c r="C192" i="6"/>
  <c r="C226" i="6"/>
  <c r="B122" i="7"/>
  <c r="N32" i="6" l="1"/>
  <c r="H94" i="6"/>
  <c r="F94" i="6"/>
  <c r="E159" i="8"/>
  <c r="G159" i="8" s="1"/>
  <c r="F261" i="6"/>
  <c r="L15" i="6"/>
  <c r="G45" i="6"/>
  <c r="M261" i="6" s="1"/>
  <c r="I10" i="8"/>
  <c r="B15" i="8"/>
  <c r="I15" i="8" s="1"/>
  <c r="G261" i="6"/>
  <c r="H263" i="6"/>
  <c r="H265" i="6" s="1"/>
  <c r="C204" i="6"/>
  <c r="G263" i="6" s="1"/>
  <c r="G265" i="6" s="1"/>
  <c r="M32" i="17"/>
  <c r="M32" i="12"/>
  <c r="L11" i="9"/>
  <c r="L13" i="9"/>
  <c r="M31" i="17"/>
  <c r="M31" i="12"/>
  <c r="B122" i="6"/>
  <c r="D100" i="6"/>
  <c r="F100" i="6"/>
  <c r="H100" i="6"/>
  <c r="E55" i="8"/>
  <c r="G55" i="8" s="1"/>
  <c r="D122" i="7"/>
  <c r="F122" i="7"/>
  <c r="K122" i="7"/>
  <c r="T122" i="7"/>
  <c r="C84" i="8"/>
  <c r="E84" i="8" s="1"/>
  <c r="Q263" i="6"/>
  <c r="Q265" i="6" s="1"/>
  <c r="I20" i="11"/>
  <c r="N35" i="6"/>
  <c r="C20" i="11" s="1"/>
  <c r="C141" i="8"/>
  <c r="E141" i="8" s="1"/>
  <c r="G225" i="6"/>
  <c r="G228" i="6"/>
  <c r="C144" i="8"/>
  <c r="E144" i="8" s="1"/>
  <c r="D26" i="7"/>
  <c r="D145" i="7"/>
  <c r="D147" i="6"/>
  <c r="D261" i="6"/>
  <c r="D148" i="6"/>
  <c r="D149" i="6"/>
  <c r="D143" i="7" s="1"/>
  <c r="D150" i="6"/>
  <c r="C82" i="8"/>
  <c r="E82" i="8" s="1"/>
  <c r="E154" i="8"/>
  <c r="G154" i="8" s="1"/>
  <c r="F64" i="6"/>
  <c r="H64" i="6"/>
  <c r="C85" i="8"/>
  <c r="E85" i="8" s="1"/>
  <c r="R263" i="6"/>
  <c r="R265" i="6" s="1"/>
  <c r="C143" i="8"/>
  <c r="E143" i="8" s="1"/>
  <c r="G227" i="6"/>
  <c r="C97" i="8"/>
  <c r="E97" i="8" s="1"/>
  <c r="F263" i="6"/>
  <c r="F265" i="6" s="1"/>
  <c r="D24" i="7"/>
  <c r="J205" i="6"/>
  <c r="C206" i="6" s="1"/>
  <c r="J263" i="6" s="1"/>
  <c r="J265" i="6" s="1"/>
  <c r="C98" i="8"/>
  <c r="E98" i="8" s="1"/>
  <c r="E152" i="8"/>
  <c r="G152" i="8" s="1"/>
  <c r="H58" i="6"/>
  <c r="D58" i="6"/>
  <c r="F58" i="6"/>
  <c r="N36" i="6"/>
  <c r="F20" i="11" s="1"/>
  <c r="B128" i="6"/>
  <c r="K128" i="6"/>
  <c r="C242" i="6" s="1"/>
  <c r="T128" i="6"/>
  <c r="E263" i="6"/>
  <c r="E265" i="6" s="1"/>
  <c r="C96" i="8"/>
  <c r="E96" i="8" s="1"/>
  <c r="E148" i="9"/>
  <c r="G148" i="9" s="1"/>
  <c r="D58" i="7"/>
  <c r="F58" i="7"/>
  <c r="H58" i="7"/>
  <c r="C86" i="8"/>
  <c r="E86" i="8" s="1"/>
  <c r="E51" i="9"/>
  <c r="G51" i="9" s="1"/>
  <c r="D94" i="7"/>
  <c r="F94" i="7"/>
  <c r="H94" i="7"/>
  <c r="D25" i="7"/>
  <c r="C145" i="8"/>
  <c r="E145" i="8" s="1"/>
  <c r="G229" i="6"/>
  <c r="G226" i="6"/>
  <c r="C142" i="8"/>
  <c r="E142" i="8" s="1"/>
  <c r="C83" i="8"/>
  <c r="E83" i="8" s="1"/>
  <c r="P263" i="6"/>
  <c r="P265" i="6" s="1"/>
  <c r="M13" i="12" l="1"/>
  <c r="M13" i="17"/>
  <c r="M14" i="17"/>
  <c r="M14" i="12"/>
  <c r="Q6" i="6"/>
  <c r="J3" i="14"/>
  <c r="L3" i="14" s="1"/>
  <c r="N3" i="16" s="1"/>
  <c r="M15" i="7"/>
  <c r="P13" i="6"/>
  <c r="K47" i="6"/>
  <c r="Q7" i="6"/>
  <c r="N45" i="6"/>
  <c r="K46" i="6"/>
  <c r="J51" i="6" s="1" a="1"/>
  <c r="C249" i="8"/>
  <c r="C250" i="8"/>
  <c r="C251" i="8"/>
  <c r="V128" i="6"/>
  <c r="X128" i="6"/>
  <c r="E217" i="8"/>
  <c r="G217" i="8" s="1"/>
  <c r="E65" i="8"/>
  <c r="G65" i="8" s="1"/>
  <c r="M128" i="6"/>
  <c r="O128" i="6"/>
  <c r="C247" i="8"/>
  <c r="D128" i="6"/>
  <c r="F128" i="6"/>
  <c r="E167" i="8"/>
  <c r="G167" i="8" s="1"/>
  <c r="C115" i="8"/>
  <c r="E115" i="8" s="1"/>
  <c r="D242" i="6"/>
  <c r="O263" i="6"/>
  <c r="O265" i="6" s="1"/>
  <c r="V122" i="7"/>
  <c r="X122" i="7"/>
  <c r="E213" i="9"/>
  <c r="G213" i="9" s="1"/>
  <c r="C248" i="8"/>
  <c r="E59" i="9"/>
  <c r="G59" i="9" s="1"/>
  <c r="M122" i="7"/>
  <c r="O122" i="7"/>
  <c r="C236" i="7"/>
  <c r="B116" i="7"/>
  <c r="D144" i="7"/>
  <c r="C219" i="7" s="1"/>
  <c r="C225" i="6"/>
  <c r="D142" i="7"/>
  <c r="C206" i="7" s="1"/>
  <c r="C120" i="9" s="1"/>
  <c r="E120" i="9" s="1"/>
  <c r="C212" i="6"/>
  <c r="C191" i="6"/>
  <c r="D141" i="7"/>
  <c r="C185" i="7" s="1"/>
  <c r="C76" i="9" s="1"/>
  <c r="E76" i="9" s="1"/>
  <c r="K122" i="6"/>
  <c r="T122" i="6"/>
  <c r="C100" i="8"/>
  <c r="E100" i="8" s="1"/>
  <c r="D122" i="6"/>
  <c r="F122" i="6"/>
  <c r="H122" i="6"/>
  <c r="J52" i="6" l="1"/>
  <c r="J51" i="6"/>
  <c r="B114" i="6"/>
  <c r="B108" i="6"/>
  <c r="D179" i="6"/>
  <c r="D30" i="14" s="1"/>
  <c r="K47" i="7"/>
  <c r="N45" i="7"/>
  <c r="K46" i="7"/>
  <c r="J51" i="7" s="1" a="1"/>
  <c r="D181" i="6"/>
  <c r="D32" i="14" s="1"/>
  <c r="AE35" i="16"/>
  <c r="AE37" i="16" s="1" a="1"/>
  <c r="AF35" i="16"/>
  <c r="AF37" i="16" s="1" a="1"/>
  <c r="AB36" i="16"/>
  <c r="AB15" i="16"/>
  <c r="AB17" i="16" s="1" a="1"/>
  <c r="AC15" i="16"/>
  <c r="AC17" i="16" s="1" a="1"/>
  <c r="AG35" i="16"/>
  <c r="AG37" i="16" s="1" a="1"/>
  <c r="AC36" i="16"/>
  <c r="AH35" i="16"/>
  <c r="AH37" i="16" s="1" a="1"/>
  <c r="AD36" i="16"/>
  <c r="AG16" i="16"/>
  <c r="AD15" i="16"/>
  <c r="AE15" i="16"/>
  <c r="AI35" i="16"/>
  <c r="AE36" i="16"/>
  <c r="AF15" i="16"/>
  <c r="AF36" i="16"/>
  <c r="AG15" i="16"/>
  <c r="AB16" i="16"/>
  <c r="AG36" i="16"/>
  <c r="AC16" i="16"/>
  <c r="AH36" i="16"/>
  <c r="AD16" i="16"/>
  <c r="AI36" i="16"/>
  <c r="AE16" i="16"/>
  <c r="AF16" i="16"/>
  <c r="AI16" i="16"/>
  <c r="AB35" i="16"/>
  <c r="AB37" i="16" s="1" a="1"/>
  <c r="AC35" i="16"/>
  <c r="AD35" i="16"/>
  <c r="AH16" i="16"/>
  <c r="P10" i="6" a="1"/>
  <c r="B67" i="6"/>
  <c r="E63" i="8"/>
  <c r="G63" i="8" s="1"/>
  <c r="M122" i="6"/>
  <c r="O122" i="6"/>
  <c r="Q122" i="6"/>
  <c r="C238" i="6" s="1"/>
  <c r="C224" i="6"/>
  <c r="D236" i="7"/>
  <c r="C111" i="9"/>
  <c r="E111" i="9" s="1"/>
  <c r="V122" i="6"/>
  <c r="X122" i="6"/>
  <c r="Z122" i="6"/>
  <c r="E215" i="8"/>
  <c r="G215" i="8" s="1"/>
  <c r="E248" i="8"/>
  <c r="C302" i="8"/>
  <c r="E302" i="8" s="1"/>
  <c r="T116" i="7"/>
  <c r="D116" i="7"/>
  <c r="K116" i="7"/>
  <c r="F116" i="7"/>
  <c r="H116" i="7"/>
  <c r="C301" i="8"/>
  <c r="E301" i="8" s="1"/>
  <c r="E247" i="8"/>
  <c r="C178" i="6"/>
  <c r="F67" i="6"/>
  <c r="D67" i="6"/>
  <c r="C81" i="8"/>
  <c r="E81" i="8" s="1"/>
  <c r="C305" i="8"/>
  <c r="E305" i="8" s="1"/>
  <c r="E251" i="8"/>
  <c r="C124" i="8"/>
  <c r="E124" i="8" s="1"/>
  <c r="C304" i="8"/>
  <c r="E304" i="8" s="1"/>
  <c r="E250" i="8"/>
  <c r="G224" i="6"/>
  <c r="C140" i="8"/>
  <c r="E140" i="8" s="1"/>
  <c r="C303" i="8"/>
  <c r="E303" i="8" s="1"/>
  <c r="E249" i="8"/>
  <c r="G218" i="7"/>
  <c r="C242" i="9" s="1"/>
  <c r="C136" i="9"/>
  <c r="E136" i="9" s="1"/>
  <c r="AD17" i="16" l="1" a="1"/>
  <c r="AB18" i="16"/>
  <c r="H14" i="16" s="1"/>
  <c r="AB17" i="16"/>
  <c r="G14" i="16" s="1"/>
  <c r="AH38" i="16"/>
  <c r="U21" i="16" s="1"/>
  <c r="X21" i="16" s="1"/>
  <c r="X19" i="16" s="1"/>
  <c r="AH37" i="16"/>
  <c r="T21" i="16" s="1"/>
  <c r="V21" i="16" s="1"/>
  <c r="V19" i="16" s="1"/>
  <c r="AC18" i="16"/>
  <c r="H15" i="16" s="1"/>
  <c r="AC17" i="16"/>
  <c r="G15" i="16" s="1"/>
  <c r="AF38" i="16"/>
  <c r="H39" i="16" s="1"/>
  <c r="AF37" i="16"/>
  <c r="G39" i="16" s="1"/>
  <c r="AE37" i="16"/>
  <c r="G38" i="16" s="1"/>
  <c r="AE38" i="16"/>
  <c r="H38" i="16" s="1"/>
  <c r="P11" i="6"/>
  <c r="Q11" i="6" s="1"/>
  <c r="H7" i="16" s="1"/>
  <c r="K7" i="16" s="1"/>
  <c r="P10" i="6"/>
  <c r="Q10" i="6" s="1"/>
  <c r="G7" i="16" s="1"/>
  <c r="I7" i="16" s="1"/>
  <c r="AB37" i="16"/>
  <c r="G35" i="16" s="1"/>
  <c r="AB38" i="16"/>
  <c r="H35" i="16" s="1"/>
  <c r="AG37" i="16"/>
  <c r="G40" i="16" s="1"/>
  <c r="AG38" i="16"/>
  <c r="H40" i="16" s="1"/>
  <c r="J52" i="7"/>
  <c r="J51" i="7"/>
  <c r="B108" i="7"/>
  <c r="B102" i="7"/>
  <c r="B105" i="7"/>
  <c r="D173" i="7"/>
  <c r="H30" i="14" s="1"/>
  <c r="AG17" i="16" a="1"/>
  <c r="AF17" i="16" a="1"/>
  <c r="D108" i="6"/>
  <c r="F108" i="6"/>
  <c r="H108" i="6"/>
  <c r="AD37" i="16" a="1"/>
  <c r="D114" i="6"/>
  <c r="E61" i="8" s="1"/>
  <c r="G61" i="8" s="1"/>
  <c r="F114" i="6"/>
  <c r="AI37" i="16" a="1"/>
  <c r="K51" i="6"/>
  <c r="Q38" i="11" s="1"/>
  <c r="S38" i="11" s="1"/>
  <c r="D52" i="6"/>
  <c r="D48" i="6"/>
  <c r="AC37" i="16" a="1"/>
  <c r="AE17" i="16" a="1"/>
  <c r="E47" i="6"/>
  <c r="K52" i="6"/>
  <c r="Q40" i="11" s="1"/>
  <c r="M116" i="7"/>
  <c r="O116" i="7"/>
  <c r="Q116" i="7"/>
  <c r="C232" i="7" s="1"/>
  <c r="E57" i="9"/>
  <c r="G57" i="9" s="1"/>
  <c r="C218" i="7"/>
  <c r="V116" i="7"/>
  <c r="E211" i="9"/>
  <c r="G211" i="9" s="1"/>
  <c r="X116" i="7"/>
  <c r="Z116" i="7"/>
  <c r="E169" i="8"/>
  <c r="G169" i="8" s="1"/>
  <c r="C139" i="8"/>
  <c r="E139" i="8" s="1"/>
  <c r="C246" i="8"/>
  <c r="E58" i="8"/>
  <c r="G58" i="8" s="1"/>
  <c r="B73" i="6"/>
  <c r="H240" i="6"/>
  <c r="D238" i="6"/>
  <c r="C111" i="8"/>
  <c r="E111" i="8" s="1"/>
  <c r="E242" i="9"/>
  <c r="C295" i="9"/>
  <c r="E295" i="9" s="1"/>
  <c r="C30" i="14"/>
  <c r="D48" i="7" l="1"/>
  <c r="K51" i="7"/>
  <c r="Q85" i="11" s="1"/>
  <c r="D52" i="7"/>
  <c r="D47" i="7"/>
  <c r="C37" i="8"/>
  <c r="E37" i="8" s="1"/>
  <c r="O40" i="11"/>
  <c r="T40" i="11" s="1"/>
  <c r="S40" i="11"/>
  <c r="S14" i="11" s="1"/>
  <c r="E20" i="21" s="1"/>
  <c r="K52" i="7"/>
  <c r="Q87" i="11" s="1"/>
  <c r="E48" i="7"/>
  <c r="C43" i="9" s="1"/>
  <c r="E43" i="9" s="1"/>
  <c r="E47" i="7"/>
  <c r="S12" i="11"/>
  <c r="E19" i="21" s="1"/>
  <c r="D47" i="6"/>
  <c r="AD37" i="16"/>
  <c r="G37" i="16" s="1"/>
  <c r="AD38" i="16"/>
  <c r="H37" i="16" s="1"/>
  <c r="I15" i="16"/>
  <c r="V15" i="16" s="1"/>
  <c r="T15" i="16"/>
  <c r="K35" i="16"/>
  <c r="X35" i="16" s="1"/>
  <c r="U35" i="16"/>
  <c r="I35" i="16"/>
  <c r="V35" i="16" s="1"/>
  <c r="T35" i="16"/>
  <c r="E57" i="8"/>
  <c r="G57" i="8" s="1"/>
  <c r="B131" i="6"/>
  <c r="K131" i="6"/>
  <c r="T131" i="6"/>
  <c r="U15" i="16"/>
  <c r="AC37" i="16"/>
  <c r="G36" i="16" s="1"/>
  <c r="AC38" i="16"/>
  <c r="H36" i="16" s="1"/>
  <c r="D108" i="7"/>
  <c r="E55" i="9" s="1"/>
  <c r="G55" i="9" s="1"/>
  <c r="F108" i="7"/>
  <c r="C46" i="8"/>
  <c r="AE18" i="16"/>
  <c r="H17" i="16" s="1"/>
  <c r="AE17" i="16"/>
  <c r="G17" i="16" s="1"/>
  <c r="G52" i="6"/>
  <c r="C38" i="8"/>
  <c r="E38" i="8" s="1"/>
  <c r="AI38" i="16"/>
  <c r="U41" i="16" s="1"/>
  <c r="X41" i="16" s="1"/>
  <c r="X37" i="16" s="1"/>
  <c r="AI37" i="16"/>
  <c r="T41" i="16" s="1"/>
  <c r="V41" i="16" s="1"/>
  <c r="V37" i="16" s="1"/>
  <c r="AF18" i="16"/>
  <c r="H18" i="16" s="1"/>
  <c r="AF17" i="16"/>
  <c r="G18" i="16" s="1"/>
  <c r="AG17" i="16"/>
  <c r="G19" i="16" s="1"/>
  <c r="AG18" i="16"/>
  <c r="H19" i="16" s="1"/>
  <c r="T14" i="16"/>
  <c r="I14" i="16"/>
  <c r="V14" i="16" s="1"/>
  <c r="D105" i="7"/>
  <c r="E54" i="9" s="1"/>
  <c r="G54" i="9" s="1"/>
  <c r="F105" i="7"/>
  <c r="U14" i="16"/>
  <c r="K14" i="16"/>
  <c r="X14" i="16" s="1"/>
  <c r="E48" i="6"/>
  <c r="C47" i="8" s="1"/>
  <c r="E47" i="8" s="1"/>
  <c r="F102" i="7"/>
  <c r="H102" i="7"/>
  <c r="D102" i="7"/>
  <c r="AD18" i="16"/>
  <c r="H16" i="16" s="1"/>
  <c r="AD17" i="16"/>
  <c r="G16" i="16" s="1"/>
  <c r="C135" i="9"/>
  <c r="E135" i="9" s="1"/>
  <c r="E165" i="9"/>
  <c r="G165" i="9" s="1"/>
  <c r="C33" i="14"/>
  <c r="C180" i="6" s="1"/>
  <c r="D33" i="14"/>
  <c r="I240" i="6"/>
  <c r="C235" i="8"/>
  <c r="E235" i="8" s="1"/>
  <c r="L263" i="6"/>
  <c r="L265" i="6" s="1"/>
  <c r="L240" i="6"/>
  <c r="H234" i="7"/>
  <c r="D232" i="7"/>
  <c r="C107" i="9"/>
  <c r="E107" i="9" s="1"/>
  <c r="D73" i="6"/>
  <c r="F73" i="6"/>
  <c r="E155" i="8"/>
  <c r="G155" i="8" s="1"/>
  <c r="H73" i="6"/>
  <c r="C300" i="8"/>
  <c r="E300" i="8" s="1"/>
  <c r="E246" i="8"/>
  <c r="E44" i="6" l="1"/>
  <c r="K36" i="16"/>
  <c r="X36" i="16" s="1"/>
  <c r="U36" i="16"/>
  <c r="C36" i="8"/>
  <c r="D44" i="6"/>
  <c r="G47" i="6"/>
  <c r="N261" i="6" s="1"/>
  <c r="E218" i="8"/>
  <c r="G218" i="8" s="1"/>
  <c r="X131" i="6"/>
  <c r="Z131" i="6"/>
  <c r="V131" i="6"/>
  <c r="O87" i="11"/>
  <c r="D106" i="11" s="1"/>
  <c r="S87" i="11"/>
  <c r="I36" i="16"/>
  <c r="V36" i="16" s="1"/>
  <c r="T37" i="16" s="1"/>
  <c r="R37" i="16" s="1"/>
  <c r="T36" i="16"/>
  <c r="H131" i="6"/>
  <c r="C240" i="6"/>
  <c r="F131" i="6"/>
  <c r="D131" i="6"/>
  <c r="U18" i="16"/>
  <c r="K15" i="16"/>
  <c r="X15" i="16" s="1"/>
  <c r="M131" i="6"/>
  <c r="O131" i="6"/>
  <c r="Q131" i="6"/>
  <c r="E66" i="8"/>
  <c r="G66" i="8" s="1"/>
  <c r="T18" i="16"/>
  <c r="G48" i="6"/>
  <c r="D44" i="7"/>
  <c r="C32" i="9"/>
  <c r="G47" i="7"/>
  <c r="U17" i="16"/>
  <c r="K17" i="16"/>
  <c r="X17" i="16" s="1"/>
  <c r="C49" i="8"/>
  <c r="E46" i="8"/>
  <c r="E49" i="8" s="1"/>
  <c r="I49" i="8" s="1"/>
  <c r="E44" i="7"/>
  <c r="C42" i="9"/>
  <c r="T16" i="16"/>
  <c r="G20" i="16"/>
  <c r="I16" i="16"/>
  <c r="V16" i="16" s="1"/>
  <c r="U37" i="16"/>
  <c r="U16" i="16"/>
  <c r="H20" i="16"/>
  <c r="K16" i="16"/>
  <c r="X16" i="16" s="1"/>
  <c r="C34" i="9"/>
  <c r="E34" i="9" s="1"/>
  <c r="G52" i="7"/>
  <c r="E53" i="9"/>
  <c r="G53" i="9" s="1"/>
  <c r="B125" i="7"/>
  <c r="C239" i="6"/>
  <c r="I261" i="6"/>
  <c r="U61" i="11"/>
  <c r="S85" i="11"/>
  <c r="T17" i="16"/>
  <c r="I17" i="16"/>
  <c r="V17" i="16" s="1"/>
  <c r="C33" i="9"/>
  <c r="E33" i="9" s="1"/>
  <c r="G48" i="7"/>
  <c r="C289" i="8"/>
  <c r="E289" i="8" s="1"/>
  <c r="M240" i="6"/>
  <c r="B79" i="6"/>
  <c r="F79" i="6" s="1"/>
  <c r="B82" i="6"/>
  <c r="F82" i="6" s="1"/>
  <c r="C200" i="6" s="1"/>
  <c r="B76" i="6"/>
  <c r="B111" i="6"/>
  <c r="C183" i="6"/>
  <c r="B91" i="6"/>
  <c r="F91" i="6" s="1"/>
  <c r="C201" i="6" s="1"/>
  <c r="B88" i="6"/>
  <c r="C231" i="9"/>
  <c r="E231" i="9" s="1"/>
  <c r="I234" i="7"/>
  <c r="L234" i="7"/>
  <c r="L254" i="7"/>
  <c r="L256" i="7" s="1"/>
  <c r="C34" i="14"/>
  <c r="C113" i="8" l="1"/>
  <c r="E113" i="8" s="1"/>
  <c r="D240" i="6"/>
  <c r="I37" i="16"/>
  <c r="I38" i="16" s="1"/>
  <c r="I39" i="16" s="1"/>
  <c r="I40" i="16" s="1"/>
  <c r="D35" i="12"/>
  <c r="D35" i="17"/>
  <c r="C237" i="6"/>
  <c r="K261" i="6"/>
  <c r="I18" i="16"/>
  <c r="S61" i="11"/>
  <c r="E25" i="21" s="1"/>
  <c r="S63" i="11"/>
  <c r="E26" i="21" s="1"/>
  <c r="C35" i="9"/>
  <c r="E32" i="9"/>
  <c r="E35" i="9" s="1"/>
  <c r="I35" i="9" s="1"/>
  <c r="D239" i="6"/>
  <c r="H241" i="6"/>
  <c r="C112" i="8"/>
  <c r="E112" i="8" s="1"/>
  <c r="D125" i="7"/>
  <c r="F125" i="7"/>
  <c r="H125" i="7"/>
  <c r="K125" i="7"/>
  <c r="T125" i="7"/>
  <c r="I252" i="7"/>
  <c r="D18" i="17"/>
  <c r="D18" i="12"/>
  <c r="C39" i="8"/>
  <c r="E36" i="8"/>
  <c r="E39" i="8" s="1"/>
  <c r="I39" i="8" s="1"/>
  <c r="K18" i="16"/>
  <c r="C45" i="9"/>
  <c r="E42" i="9"/>
  <c r="E45" i="9" s="1"/>
  <c r="I45" i="9" s="1"/>
  <c r="K37" i="16"/>
  <c r="K38" i="16" s="1"/>
  <c r="K39" i="16" s="1"/>
  <c r="K40" i="16" s="1"/>
  <c r="C231" i="7"/>
  <c r="K252" i="7"/>
  <c r="D36" i="17"/>
  <c r="D36" i="12"/>
  <c r="D19" i="12"/>
  <c r="D19" i="17"/>
  <c r="C95" i="8"/>
  <c r="E95" i="8" s="1"/>
  <c r="D263" i="6"/>
  <c r="D265" i="6" s="1"/>
  <c r="E156" i="8"/>
  <c r="G156" i="8" s="1"/>
  <c r="F76" i="6"/>
  <c r="H76" i="6"/>
  <c r="D76" i="6"/>
  <c r="F88" i="6"/>
  <c r="H149" i="6" s="1"/>
  <c r="B32" i="15" s="1"/>
  <c r="H88" i="6"/>
  <c r="E158" i="8"/>
  <c r="G158" i="8" s="1"/>
  <c r="D88" i="6"/>
  <c r="F111" i="6"/>
  <c r="D111" i="6"/>
  <c r="E60" i="8" s="1"/>
  <c r="G60" i="8" s="1"/>
  <c r="C207" i="6"/>
  <c r="C94" i="8"/>
  <c r="D200" i="6"/>
  <c r="B119" i="6"/>
  <c r="K119" i="6"/>
  <c r="C222" i="6" s="1"/>
  <c r="E168" i="8"/>
  <c r="G168" i="8" s="1"/>
  <c r="G170" i="8" s="1"/>
  <c r="I170" i="8" s="1"/>
  <c r="T119" i="6"/>
  <c r="C284" i="9"/>
  <c r="E284" i="9" s="1"/>
  <c r="M234" i="7"/>
  <c r="E214" i="9" l="1"/>
  <c r="G214" i="9" s="1"/>
  <c r="V125" i="7"/>
  <c r="X125" i="7"/>
  <c r="Z125" i="7"/>
  <c r="C106" i="9"/>
  <c r="E106" i="9" s="1"/>
  <c r="D231" i="7"/>
  <c r="H233" i="7"/>
  <c r="E48" i="16"/>
  <c r="M15" i="17"/>
  <c r="M15" i="12"/>
  <c r="E41" i="16"/>
  <c r="AI15" i="16" s="1"/>
  <c r="AI17" i="16" s="1" a="1"/>
  <c r="O125" i="7"/>
  <c r="E60" i="9"/>
  <c r="G60" i="9" s="1"/>
  <c r="M125" i="7"/>
  <c r="Q125" i="7"/>
  <c r="C233" i="7" s="1"/>
  <c r="I263" i="6"/>
  <c r="I265" i="6" s="1"/>
  <c r="I241" i="6"/>
  <c r="L241" i="6"/>
  <c r="C236" i="8"/>
  <c r="E236" i="8" s="1"/>
  <c r="M33" i="17"/>
  <c r="M33" i="12"/>
  <c r="X18" i="16"/>
  <c r="U19" i="16" s="1"/>
  <c r="K19" i="16"/>
  <c r="K20" i="16" s="1"/>
  <c r="V18" i="16"/>
  <c r="T19" i="16" s="1"/>
  <c r="R19" i="16" s="1"/>
  <c r="I19" i="16"/>
  <c r="E21" i="16" s="1"/>
  <c r="AH15" i="16" s="1"/>
  <c r="AH17" i="16" s="1" a="1"/>
  <c r="D237" i="6"/>
  <c r="H239" i="6"/>
  <c r="C110" i="8"/>
  <c r="E110" i="8" s="1"/>
  <c r="D24" i="12"/>
  <c r="D24" i="17"/>
  <c r="C234" i="7"/>
  <c r="N47" i="6"/>
  <c r="N48" i="6" s="1"/>
  <c r="B24" i="15" s="1"/>
  <c r="D119" i="6"/>
  <c r="F119" i="6"/>
  <c r="C137" i="8"/>
  <c r="G200" i="6"/>
  <c r="C101" i="8"/>
  <c r="B25" i="9" s="1"/>
  <c r="E94" i="8"/>
  <c r="E101" i="8" s="1"/>
  <c r="D7" i="7"/>
  <c r="Q44" i="11"/>
  <c r="D205" i="6"/>
  <c r="G205" i="6" s="1"/>
  <c r="I32" i="11" s="1"/>
  <c r="J65" i="11" s="1"/>
  <c r="K203" i="6"/>
  <c r="D204" i="6"/>
  <c r="G204" i="6" s="1"/>
  <c r="H32" i="11" s="1"/>
  <c r="I65" i="11" s="1"/>
  <c r="K202" i="6"/>
  <c r="D202" i="6"/>
  <c r="G202" i="6" s="1"/>
  <c r="F32" i="11" s="1"/>
  <c r="G65" i="11" s="1"/>
  <c r="D203" i="6"/>
  <c r="G203" i="6" s="1"/>
  <c r="G32" i="11" s="1"/>
  <c r="H65" i="11" s="1"/>
  <c r="D206" i="6"/>
  <c r="K251" i="6"/>
  <c r="G161" i="8"/>
  <c r="I161" i="8" s="1"/>
  <c r="E214" i="8"/>
  <c r="G214" i="8" s="1"/>
  <c r="X119" i="6"/>
  <c r="V119" i="6"/>
  <c r="Q19" i="17"/>
  <c r="Q19" i="12"/>
  <c r="D201" i="6"/>
  <c r="G201" i="6" s="1"/>
  <c r="E32" i="11" s="1"/>
  <c r="M119" i="6"/>
  <c r="O119" i="6"/>
  <c r="C223" i="6" s="1"/>
  <c r="C231" i="6" s="1"/>
  <c r="E62" i="8"/>
  <c r="G62" i="8" s="1"/>
  <c r="C290" i="8" l="1"/>
  <c r="E290" i="8" s="1"/>
  <c r="M241" i="6"/>
  <c r="E21" i="12"/>
  <c r="E14" i="12"/>
  <c r="E22" i="12"/>
  <c r="E16" i="12"/>
  <c r="E20" i="12"/>
  <c r="E15" i="12"/>
  <c r="E13" i="12"/>
  <c r="E17" i="12"/>
  <c r="E18" i="12"/>
  <c r="E22" i="17"/>
  <c r="E20" i="17"/>
  <c r="E21" i="17"/>
  <c r="E14" i="17"/>
  <c r="E16" i="17"/>
  <c r="E15" i="17"/>
  <c r="E13" i="17"/>
  <c r="E17" i="17"/>
  <c r="E18" i="17"/>
  <c r="L233" i="7"/>
  <c r="C230" i="9"/>
  <c r="E230" i="9" s="1"/>
  <c r="I233" i="7"/>
  <c r="K254" i="7"/>
  <c r="K256" i="7" s="1"/>
  <c r="E19" i="17"/>
  <c r="D234" i="7"/>
  <c r="C109" i="9"/>
  <c r="E109" i="9" s="1"/>
  <c r="E19" i="12"/>
  <c r="D233" i="7"/>
  <c r="H235" i="7"/>
  <c r="C108" i="9"/>
  <c r="E108" i="9" s="1"/>
  <c r="AI17" i="16"/>
  <c r="G41" i="16" s="1"/>
  <c r="I41" i="16" s="1"/>
  <c r="AI18" i="16"/>
  <c r="H41" i="16" s="1"/>
  <c r="K41" i="16" s="1"/>
  <c r="AA9" i="16" s="1"/>
  <c r="I239" i="6"/>
  <c r="C234" i="8"/>
  <c r="E234" i="8" s="1"/>
  <c r="L239" i="6"/>
  <c r="K263" i="6"/>
  <c r="K265" i="6" s="1"/>
  <c r="AH17" i="16"/>
  <c r="G21" i="16" s="1"/>
  <c r="I21" i="16" s="1"/>
  <c r="AH18" i="16"/>
  <c r="H21" i="16" s="1"/>
  <c r="K21" i="16" s="1"/>
  <c r="AA8" i="16" s="1"/>
  <c r="G206" i="6"/>
  <c r="G207" i="6" s="1"/>
  <c r="D207" i="6"/>
  <c r="G223" i="6"/>
  <c r="G230" i="6" s="1"/>
  <c r="Q18" i="12"/>
  <c r="Q18" i="17"/>
  <c r="B125" i="6"/>
  <c r="H16" i="17"/>
  <c r="D227" i="6"/>
  <c r="D230" i="6"/>
  <c r="D226" i="6"/>
  <c r="D228" i="6"/>
  <c r="D229" i="6"/>
  <c r="D225" i="6"/>
  <c r="D224" i="6"/>
  <c r="D222" i="6"/>
  <c r="C138" i="8"/>
  <c r="E138" i="8" s="1"/>
  <c r="D223" i="6"/>
  <c r="H14" i="17"/>
  <c r="H14" i="12"/>
  <c r="C245" i="8"/>
  <c r="E137" i="8"/>
  <c r="D65" i="11"/>
  <c r="D8" i="7"/>
  <c r="C32" i="11"/>
  <c r="F65" i="11"/>
  <c r="C25" i="9"/>
  <c r="I101" i="8"/>
  <c r="I25" i="9"/>
  <c r="F136" i="6"/>
  <c r="B28" i="15" s="1"/>
  <c r="D32" i="11"/>
  <c r="E65" i="11" s="1"/>
  <c r="C232" i="9" l="1"/>
  <c r="E232" i="9" s="1"/>
  <c r="I254" i="7"/>
  <c r="I256" i="7" s="1"/>
  <c r="L235" i="7"/>
  <c r="I235" i="7"/>
  <c r="M239" i="6"/>
  <c r="C288" i="8"/>
  <c r="E288" i="8" s="1"/>
  <c r="C283" i="9"/>
  <c r="E283" i="9" s="1"/>
  <c r="M233" i="7"/>
  <c r="C146" i="8"/>
  <c r="E146" i="8"/>
  <c r="H223" i="6"/>
  <c r="K223" i="6" s="1"/>
  <c r="D125" i="6"/>
  <c r="F125" i="6"/>
  <c r="K125" i="6"/>
  <c r="T125" i="6"/>
  <c r="D16" i="7"/>
  <c r="H16" i="7" s="1"/>
  <c r="D10" i="7"/>
  <c r="H10" i="7" s="1"/>
  <c r="D18" i="7"/>
  <c r="H18" i="7" s="1"/>
  <c r="D36" i="7"/>
  <c r="D19" i="7"/>
  <c r="H19" i="7" s="1"/>
  <c r="D20" i="7"/>
  <c r="H20" i="7" s="1"/>
  <c r="D21" i="7"/>
  <c r="H21" i="7" s="1"/>
  <c r="Q48" i="11"/>
  <c r="H16" i="12" s="1"/>
  <c r="H227" i="6"/>
  <c r="K227" i="6" s="1"/>
  <c r="H228" i="6"/>
  <c r="K228" i="6" s="1"/>
  <c r="H229" i="6"/>
  <c r="H226" i="6"/>
  <c r="K226" i="6" s="1"/>
  <c r="H225" i="6"/>
  <c r="K225" i="6" s="1"/>
  <c r="H224" i="6"/>
  <c r="K224" i="6" s="1"/>
  <c r="E30" i="11" s="1"/>
  <c r="D231" i="6"/>
  <c r="C299" i="8"/>
  <c r="C252" i="8"/>
  <c r="E245" i="8"/>
  <c r="E252" i="8" s="1"/>
  <c r="I252" i="8" s="1"/>
  <c r="I146" i="8"/>
  <c r="Q16" i="17" s="1"/>
  <c r="D198" i="8"/>
  <c r="I198" i="8" s="1"/>
  <c r="M35" i="17"/>
  <c r="M35" i="12"/>
  <c r="Q14" i="12"/>
  <c r="Q14" i="17"/>
  <c r="D32" i="17"/>
  <c r="D32" i="12"/>
  <c r="H242" i="6"/>
  <c r="N252" i="7" l="1"/>
  <c r="C285" i="9"/>
  <c r="E285" i="9" s="1"/>
  <c r="M235" i="7"/>
  <c r="K229" i="6"/>
  <c r="C306" i="8"/>
  <c r="E299" i="8"/>
  <c r="E306" i="8" s="1"/>
  <c r="I306" i="8" s="1"/>
  <c r="M125" i="6"/>
  <c r="O125" i="6"/>
  <c r="C235" i="6" s="1"/>
  <c r="C241" i="6"/>
  <c r="G252" i="7"/>
  <c r="C198" i="7"/>
  <c r="Q16" i="12"/>
  <c r="I268" i="8"/>
  <c r="X125" i="6"/>
  <c r="V125" i="6"/>
  <c r="E216" i="8" s="1"/>
  <c r="G216" i="8" s="1"/>
  <c r="G219" i="8" s="1"/>
  <c r="I219" i="8" s="1"/>
  <c r="I242" i="6"/>
  <c r="C237" i="8"/>
  <c r="E237" i="8" s="1"/>
  <c r="D30" i="11"/>
  <c r="K230" i="6"/>
  <c r="H230" i="6"/>
  <c r="C199" i="7"/>
  <c r="H252" i="7"/>
  <c r="F252" i="7"/>
  <c r="C197" i="7"/>
  <c r="E252" i="7"/>
  <c r="C196" i="7"/>
  <c r="C93" i="9" l="1"/>
  <c r="E93" i="9" s="1"/>
  <c r="G254" i="7"/>
  <c r="G256" i="7" s="1"/>
  <c r="C94" i="9"/>
  <c r="E94" i="9" s="1"/>
  <c r="H254" i="7"/>
  <c r="H256" i="7" s="1"/>
  <c r="M18" i="12"/>
  <c r="M18" i="17"/>
  <c r="D241" i="6"/>
  <c r="C114" i="8"/>
  <c r="E114" i="8" s="1"/>
  <c r="D235" i="6"/>
  <c r="C108" i="8"/>
  <c r="H237" i="6"/>
  <c r="E254" i="7"/>
  <c r="E256" i="7" s="1"/>
  <c r="C91" i="9"/>
  <c r="E91" i="9" s="1"/>
  <c r="E64" i="8"/>
  <c r="G64" i="8" s="1"/>
  <c r="G67" i="8" s="1"/>
  <c r="I67" i="8" s="1"/>
  <c r="C236" i="6"/>
  <c r="C243" i="6" s="1"/>
  <c r="H17" i="17" s="1"/>
  <c r="F254" i="7"/>
  <c r="F256" i="7" s="1"/>
  <c r="C92" i="9"/>
  <c r="E92" i="9" s="1"/>
  <c r="M17" i="17" l="1"/>
  <c r="I70" i="8"/>
  <c r="B6" i="15" s="1"/>
  <c r="M17" i="12"/>
  <c r="E108" i="8"/>
  <c r="H238" i="6"/>
  <c r="M263" i="6" s="1"/>
  <c r="M265" i="6" s="1"/>
  <c r="K249" i="6"/>
  <c r="D236" i="6"/>
  <c r="C109" i="8"/>
  <c r="E109" i="8" s="1"/>
  <c r="C232" i="8"/>
  <c r="I237" i="6"/>
  <c r="D243" i="6"/>
  <c r="E241" i="6"/>
  <c r="H243" i="6" l="1"/>
  <c r="H17" i="12" s="1"/>
  <c r="N263" i="6"/>
  <c r="N265" i="6" s="1"/>
  <c r="E232" i="8"/>
  <c r="C116" i="8"/>
  <c r="E116" i="8"/>
  <c r="M24" i="12"/>
  <c r="N17" i="12"/>
  <c r="E240" i="6"/>
  <c r="E239" i="6"/>
  <c r="E237" i="6"/>
  <c r="E242" i="6"/>
  <c r="E238" i="6"/>
  <c r="E235" i="6"/>
  <c r="E236" i="6"/>
  <c r="I238" i="6"/>
  <c r="C233" i="8"/>
  <c r="E233" i="8" s="1"/>
  <c r="Q239" i="6"/>
  <c r="M24" i="17"/>
  <c r="N17" i="17" s="1"/>
  <c r="S239" i="6" l="1"/>
  <c r="U239" i="6"/>
  <c r="L237" i="6" s="1"/>
  <c r="L242" i="6"/>
  <c r="I243" i="6"/>
  <c r="E243" i="6"/>
  <c r="N14" i="12"/>
  <c r="N16" i="12"/>
  <c r="N13" i="12"/>
  <c r="N15" i="12"/>
  <c r="N18" i="12"/>
  <c r="I116" i="8"/>
  <c r="Q17" i="17" s="1"/>
  <c r="D194" i="8"/>
  <c r="I194" i="8" s="1"/>
  <c r="I222" i="8" s="1"/>
  <c r="C238" i="8"/>
  <c r="N15" i="17"/>
  <c r="N13" i="17"/>
  <c r="N14" i="17"/>
  <c r="N16" i="17"/>
  <c r="N18" i="17"/>
  <c r="E238" i="8"/>
  <c r="I238" i="8" s="1"/>
  <c r="I256" i="8" l="1"/>
  <c r="B11" i="15"/>
  <c r="M237" i="6"/>
  <c r="C286" i="8"/>
  <c r="I265" i="8"/>
  <c r="Q17" i="12"/>
  <c r="J239" i="6"/>
  <c r="F36" i="11" s="1"/>
  <c r="J241" i="6"/>
  <c r="H36" i="11" s="1"/>
  <c r="J240" i="6"/>
  <c r="G36" i="11" s="1"/>
  <c r="J242" i="6"/>
  <c r="I36" i="11" s="1"/>
  <c r="J237" i="6"/>
  <c r="J238" i="6"/>
  <c r="E36" i="11" s="1"/>
  <c r="M242" i="6"/>
  <c r="C291" i="8"/>
  <c r="E291" i="8" s="1"/>
  <c r="E273" i="8"/>
  <c r="G273" i="8" s="1"/>
  <c r="I273" i="8" s="1"/>
  <c r="L238" i="6"/>
  <c r="C287" i="8" l="1"/>
  <c r="E287" i="8" s="1"/>
  <c r="M238" i="6"/>
  <c r="M243" i="6"/>
  <c r="N237" i="6"/>
  <c r="D38" i="11" s="1"/>
  <c r="I276" i="8"/>
  <c r="E286" i="8"/>
  <c r="E292" i="8" s="1"/>
  <c r="I292" i="8" s="1"/>
  <c r="C292" i="8"/>
  <c r="J243" i="6"/>
  <c r="D36" i="11"/>
  <c r="Q21" i="17"/>
  <c r="U21" i="17" s="1"/>
  <c r="U22" i="17" s="1"/>
  <c r="I259" i="8"/>
  <c r="B12" i="15" s="1"/>
  <c r="B13" i="15" s="1"/>
  <c r="Q21" i="12"/>
  <c r="B16" i="15" l="1"/>
  <c r="I310" i="8"/>
  <c r="I313" i="8" s="1"/>
  <c r="B17" i="15" s="1"/>
  <c r="N239" i="6"/>
  <c r="F38" i="11" s="1"/>
  <c r="N241" i="6"/>
  <c r="H38" i="11" s="1"/>
  <c r="Q50" i="11"/>
  <c r="N240" i="6"/>
  <c r="G38" i="11" s="1"/>
  <c r="N238" i="6"/>
  <c r="E38" i="11" s="1"/>
  <c r="N242" i="6"/>
  <c r="I38" i="11" s="1"/>
  <c r="B18" i="15" l="1"/>
  <c r="I33" i="17" l="1"/>
  <c r="H33" i="17"/>
  <c r="D199" i="7"/>
  <c r="G199" i="7"/>
  <c r="I81" i="11"/>
  <c r="E75" i="11"/>
  <c r="D185" i="7"/>
  <c r="F63" i="11"/>
  <c r="E26" i="11"/>
  <c r="D191" i="6"/>
  <c r="K219" i="7"/>
  <c r="H219" i="7"/>
  <c r="E85" i="11"/>
  <c r="J232" i="7"/>
  <c r="I232" i="7"/>
  <c r="E137" i="9"/>
  <c r="C137" i="9"/>
  <c r="G28" i="15"/>
  <c r="F130" i="7"/>
  <c r="H87" i="11"/>
  <c r="N235" i="7"/>
  <c r="G154" i="9"/>
  <c r="E154" i="9"/>
  <c r="P256" i="7"/>
  <c r="P254" i="7"/>
  <c r="C252" i="7"/>
  <c r="E282" i="9"/>
  <c r="C282" i="9"/>
  <c r="G200" i="7"/>
  <c r="D200" i="7"/>
  <c r="G58" i="9"/>
  <c r="E58" i="9"/>
  <c r="M119" i="7"/>
  <c r="I32" i="17"/>
  <c r="H32" i="17"/>
  <c r="R15" i="12"/>
  <c r="Q15" i="12"/>
  <c r="E140" i="9"/>
  <c r="C140" i="9"/>
  <c r="F82" i="7"/>
  <c r="H143" i="7"/>
  <c r="G32" i="15"/>
  <c r="E79" i="9"/>
  <c r="C79" i="9"/>
  <c r="E105" i="9"/>
  <c r="C105" i="9"/>
  <c r="E77" i="11"/>
  <c r="D206" i="7"/>
  <c r="R37" i="12"/>
  <c r="Q37" i="12"/>
  <c r="K220" i="7"/>
  <c r="H220" i="7"/>
  <c r="R32" i="17"/>
  <c r="Q32" i="17"/>
  <c r="J256" i="7"/>
  <c r="J254" i="7"/>
  <c r="O105" i="11"/>
  <c r="J205" i="7"/>
  <c r="R36" i="12"/>
  <c r="Q36" i="12"/>
  <c r="G7" i="15"/>
  <c r="I181" i="9"/>
  <c r="D197" i="7"/>
  <c r="G197" i="7"/>
  <c r="G81" i="11"/>
  <c r="R34" i="17"/>
  <c r="Q34" i="17"/>
  <c r="I142" i="9"/>
  <c r="G18" i="15"/>
  <c r="G16" i="15"/>
  <c r="D107" i="11"/>
  <c r="I187" i="7"/>
  <c r="K200" i="7"/>
  <c r="J200" i="7"/>
  <c r="R37" i="17"/>
  <c r="C12" i="7"/>
  <c r="H12" i="7"/>
  <c r="E163" i="9"/>
  <c r="G163" i="9"/>
  <c r="G166" i="9"/>
  <c r="I166" i="9"/>
  <c r="Q37" i="17"/>
  <c r="I15" i="17"/>
  <c r="H15" i="17"/>
  <c r="E286" i="9"/>
  <c r="C286" i="9"/>
  <c r="B8" i="15"/>
  <c r="B7" i="15"/>
  <c r="I185" i="8"/>
  <c r="K222" i="7"/>
  <c r="H222" i="7"/>
  <c r="G212" i="9"/>
  <c r="E212" i="9"/>
  <c r="V119" i="7"/>
  <c r="R15" i="17"/>
  <c r="E123" i="8"/>
  <c r="E130" i="8"/>
  <c r="I130" i="8"/>
  <c r="Q15" i="17"/>
  <c r="G152" i="9"/>
  <c r="E152" i="9"/>
  <c r="D87" i="11"/>
  <c r="N231" i="7"/>
  <c r="I264" i="9"/>
  <c r="I271" i="9"/>
  <c r="I305" i="9"/>
  <c r="I308" i="9"/>
  <c r="G17" i="15"/>
  <c r="Q256" i="7"/>
  <c r="Q254" i="7"/>
  <c r="M256" i="7"/>
  <c r="M254" i="7"/>
  <c r="I35" i="12"/>
  <c r="H35" i="12"/>
  <c r="H237" i="7"/>
  <c r="C112" i="9"/>
  <c r="H85" i="11"/>
  <c r="J235" i="7"/>
  <c r="G164" i="9"/>
  <c r="E164" i="9"/>
  <c r="E124" i="9"/>
  <c r="C124" i="9"/>
  <c r="E138" i="9"/>
  <c r="C138" i="9"/>
  <c r="E77" i="9"/>
  <c r="C77" i="9"/>
  <c r="J237" i="7"/>
  <c r="J231" i="7"/>
  <c r="D85" i="11"/>
  <c r="E122" i="9"/>
  <c r="C122" i="9"/>
  <c r="K246" i="7"/>
  <c r="E235" i="7"/>
  <c r="D235" i="7"/>
  <c r="R38" i="17"/>
  <c r="Q41" i="17"/>
  <c r="I112" i="9"/>
  <c r="Q35" i="17"/>
  <c r="R35" i="17"/>
  <c r="I13" i="17"/>
  <c r="D197" i="6"/>
  <c r="E229" i="9"/>
  <c r="C229" i="9"/>
  <c r="G85" i="11"/>
  <c r="J234" i="7"/>
  <c r="J203" i="7"/>
  <c r="J199" i="7"/>
  <c r="E281" i="9"/>
  <c r="E287" i="9"/>
  <c r="I287" i="9"/>
  <c r="I31" i="12"/>
  <c r="H31" i="12"/>
  <c r="H41" i="12"/>
  <c r="E230" i="7"/>
  <c r="D230" i="7"/>
  <c r="D187" i="7"/>
  <c r="C234" i="9"/>
  <c r="N37" i="12"/>
  <c r="M37" i="12"/>
  <c r="D190" i="6"/>
  <c r="D26" i="11"/>
  <c r="E63" i="11"/>
  <c r="N36" i="12"/>
  <c r="M36" i="12"/>
  <c r="L232" i="7"/>
  <c r="M232" i="7"/>
  <c r="N232" i="7"/>
  <c r="E87" i="11"/>
  <c r="E134" i="9"/>
  <c r="C134" i="9"/>
  <c r="N31" i="17"/>
  <c r="N33" i="17"/>
  <c r="N32" i="17"/>
  <c r="M41" i="17"/>
  <c r="N35" i="17"/>
  <c r="G87" i="11"/>
  <c r="N234" i="7"/>
  <c r="R38" i="12"/>
  <c r="Q41" i="12"/>
  <c r="D256" i="7"/>
  <c r="D254" i="7"/>
  <c r="N256" i="7"/>
  <c r="N254" i="7"/>
  <c r="E245" i="9"/>
  <c r="O256" i="7"/>
  <c r="O254" i="7"/>
  <c r="M113" i="7"/>
  <c r="C235" i="7"/>
  <c r="C110" i="9"/>
  <c r="E110" i="9"/>
  <c r="Q46" i="11"/>
  <c r="H15" i="12"/>
  <c r="I15" i="12"/>
  <c r="R34" i="12"/>
  <c r="E241" i="9"/>
  <c r="E248" i="9"/>
  <c r="I248" i="9"/>
  <c r="Q34" i="12"/>
  <c r="F87" i="11"/>
  <c r="N233" i="7"/>
  <c r="H82" i="7"/>
  <c r="B82" i="7"/>
  <c r="D82" i="7"/>
  <c r="E125" i="9"/>
  <c r="C125" i="9"/>
  <c r="D221" i="7"/>
  <c r="I261" i="9"/>
  <c r="E90" i="9"/>
  <c r="C90" i="9"/>
  <c r="H224" i="7"/>
  <c r="D252" i="7"/>
  <c r="C208" i="7"/>
  <c r="D208" i="7"/>
  <c r="R13" i="17"/>
  <c r="M34" i="17"/>
  <c r="N34" i="17"/>
  <c r="I34" i="17"/>
  <c r="H34" i="17"/>
  <c r="O113" i="7"/>
  <c r="C217" i="7"/>
  <c r="D217" i="7"/>
  <c r="E246" i="9"/>
  <c r="I17" i="17"/>
  <c r="I14" i="17"/>
  <c r="H13" i="17"/>
  <c r="H24" i="17"/>
  <c r="I16" i="17"/>
  <c r="G13" i="15"/>
  <c r="G11" i="15"/>
  <c r="C245" i="9"/>
  <c r="C298" i="9"/>
  <c r="E298" i="9"/>
  <c r="C82" i="9"/>
  <c r="C256" i="7"/>
  <c r="C254" i="7"/>
  <c r="D222" i="7"/>
  <c r="G8" i="15"/>
  <c r="G6" i="15"/>
  <c r="I65" i="9"/>
  <c r="C39" i="15"/>
  <c r="I17" i="12"/>
  <c r="I14" i="12"/>
  <c r="H24" i="12"/>
  <c r="I16" i="12"/>
  <c r="D223" i="7"/>
  <c r="C186" i="7"/>
  <c r="D186" i="7"/>
  <c r="E31" i="17"/>
  <c r="C265" i="6"/>
  <c r="C263" i="6"/>
  <c r="C210" i="7"/>
  <c r="D210" i="7"/>
  <c r="I31" i="17"/>
  <c r="Q89" i="11"/>
  <c r="H31" i="17"/>
  <c r="H41" i="17"/>
  <c r="C248" i="9"/>
  <c r="R18" i="12"/>
  <c r="R20" i="12"/>
  <c r="R17" i="12"/>
  <c r="H39" i="15"/>
  <c r="R19" i="12"/>
  <c r="R14" i="12"/>
  <c r="R16" i="12"/>
  <c r="Q24" i="12"/>
  <c r="R21" i="12"/>
  <c r="E89" i="9"/>
  <c r="E97" i="9"/>
  <c r="I97" i="9"/>
  <c r="Q32" i="12"/>
  <c r="R32" i="12"/>
  <c r="E232" i="7"/>
  <c r="E236" i="7"/>
  <c r="E234" i="7"/>
  <c r="E233" i="7"/>
  <c r="D237" i="7"/>
  <c r="E231" i="7"/>
  <c r="C223" i="7"/>
  <c r="G222" i="7"/>
  <c r="C246" i="9"/>
  <c r="C299" i="9"/>
  <c r="E299" i="9"/>
  <c r="D189" i="7"/>
  <c r="F81" i="11"/>
  <c r="G196" i="7"/>
  <c r="D196" i="7"/>
  <c r="J81" i="11"/>
  <c r="H81" i="11"/>
  <c r="G198" i="7"/>
  <c r="D198" i="7"/>
  <c r="D209" i="7"/>
  <c r="G221" i="7"/>
  <c r="H221" i="7"/>
  <c r="K221" i="7"/>
  <c r="F67" i="7"/>
  <c r="B85" i="7"/>
  <c r="F85" i="7"/>
  <c r="C195" i="7"/>
  <c r="D195" i="7"/>
  <c r="G195" i="7"/>
  <c r="E81" i="11"/>
  <c r="C81" i="11"/>
  <c r="C222" i="7"/>
  <c r="C139" i="9"/>
  <c r="E139" i="9"/>
  <c r="C87" i="8"/>
  <c r="J252" i="7"/>
  <c r="H13" i="12"/>
  <c r="I13" i="12"/>
  <c r="S26" i="11"/>
  <c r="O106" i="11"/>
  <c r="O217" i="7"/>
  <c r="Q91" i="11"/>
  <c r="R33" i="12"/>
  <c r="Q33" i="12"/>
  <c r="R33" i="17"/>
  <c r="E119" i="9"/>
  <c r="E126" i="9"/>
  <c r="I126" i="9"/>
  <c r="Q33" i="17"/>
  <c r="N36" i="17"/>
  <c r="K113" i="7"/>
  <c r="E56" i="9"/>
  <c r="G56" i="9"/>
  <c r="G62" i="9"/>
  <c r="I62" i="9"/>
  <c r="M36" i="17"/>
  <c r="D212" i="7"/>
  <c r="D77" i="11"/>
  <c r="D205" i="7"/>
  <c r="H209" i="7"/>
  <c r="C80" i="9"/>
  <c r="E80" i="9"/>
  <c r="C209" i="7"/>
  <c r="C123" i="9"/>
  <c r="E123" i="9"/>
  <c r="D191" i="7"/>
  <c r="D184" i="7"/>
  <c r="D75" i="11"/>
  <c r="E79" i="11"/>
  <c r="K218" i="7"/>
  <c r="H218" i="7"/>
  <c r="D216" i="6"/>
  <c r="D215" i="6"/>
  <c r="D213" i="6"/>
  <c r="D217" i="6"/>
  <c r="D214" i="6"/>
  <c r="C237" i="7"/>
  <c r="H35" i="17"/>
  <c r="I35" i="17"/>
  <c r="M37" i="17"/>
  <c r="N37" i="17"/>
  <c r="R39" i="12"/>
  <c r="Q39" i="12"/>
  <c r="H223" i="7"/>
  <c r="K223" i="7"/>
  <c r="L196" i="7"/>
  <c r="O104" i="11"/>
  <c r="S104" i="11"/>
  <c r="K224" i="7"/>
  <c r="H217" i="7"/>
  <c r="K217" i="7"/>
  <c r="D79" i="11"/>
  <c r="Q13" i="12"/>
  <c r="R13" i="12"/>
  <c r="C142" i="9"/>
  <c r="E141" i="9"/>
  <c r="C141" i="9"/>
  <c r="O89" i="11"/>
  <c r="U233" i="7"/>
  <c r="E296" i="9"/>
  <c r="C296" i="9"/>
  <c r="E33" i="17"/>
  <c r="E38" i="17"/>
  <c r="E37" i="17"/>
  <c r="E35" i="17"/>
  <c r="E32" i="17"/>
  <c r="E36" i="17"/>
  <c r="D31" i="17"/>
  <c r="D41" i="17"/>
  <c r="E34" i="17"/>
  <c r="D190" i="7"/>
  <c r="I231" i="7"/>
  <c r="I237" i="7"/>
  <c r="J233" i="7"/>
  <c r="F85" i="11"/>
  <c r="U40" i="17"/>
  <c r="U39" i="17"/>
  <c r="Q252" i="7"/>
  <c r="C20" i="9"/>
  <c r="C233" i="9"/>
  <c r="E233" i="9"/>
  <c r="C218" i="6"/>
  <c r="D212" i="6"/>
  <c r="E28" i="11"/>
  <c r="C123" i="8"/>
  <c r="C130" i="8"/>
  <c r="E96" i="9"/>
  <c r="C200" i="7"/>
  <c r="C96" i="9"/>
  <c r="H40" i="15"/>
  <c r="N33" i="12"/>
  <c r="N31" i="12"/>
  <c r="N32" i="12"/>
  <c r="M41" i="12"/>
  <c r="N35" i="12"/>
  <c r="I85" i="11"/>
  <c r="I236" i="7"/>
  <c r="J236" i="7"/>
  <c r="F113" i="7"/>
  <c r="E151" i="9"/>
  <c r="G151" i="9"/>
  <c r="G157" i="9"/>
  <c r="I157" i="9"/>
  <c r="Q36" i="17"/>
  <c r="R36" i="17"/>
  <c r="I190" i="9"/>
  <c r="C104" i="9"/>
  <c r="E104" i="9"/>
  <c r="E112" i="9"/>
  <c r="D190" i="9"/>
  <c r="C119" i="9"/>
  <c r="C126" i="9"/>
  <c r="C211" i="7"/>
  <c r="D211" i="7"/>
  <c r="C187" i="7"/>
  <c r="C78" i="9"/>
  <c r="E78" i="9"/>
  <c r="F208" i="7"/>
  <c r="C205" i="7"/>
  <c r="C212" i="7"/>
  <c r="Q93" i="11"/>
  <c r="H33" i="12"/>
  <c r="I33" i="12"/>
  <c r="AK10" i="11"/>
  <c r="L192" i="7"/>
  <c r="N22" i="6"/>
  <c r="P252" i="7"/>
  <c r="G12" i="15"/>
  <c r="I255" i="9"/>
  <c r="K244" i="7"/>
  <c r="M231" i="7"/>
  <c r="M237" i="7"/>
  <c r="Q97" i="11"/>
  <c r="C133" i="9"/>
  <c r="E133" i="9"/>
  <c r="E142" i="9"/>
  <c r="D194" i="9"/>
  <c r="I194" i="9"/>
  <c r="Q31" i="12"/>
  <c r="R31" i="12"/>
  <c r="V113" i="7"/>
  <c r="R252" i="7"/>
  <c r="E31" i="12"/>
  <c r="I87" i="11"/>
  <c r="N236" i="7"/>
  <c r="H236" i="7"/>
  <c r="L236" i="7"/>
  <c r="M236" i="7"/>
  <c r="D216" i="7"/>
  <c r="D225" i="7"/>
  <c r="I301" i="9"/>
  <c r="E301" i="9"/>
  <c r="E294" i="9"/>
  <c r="D201" i="7"/>
  <c r="C89" i="9"/>
  <c r="C97" i="9"/>
  <c r="D224" i="7"/>
  <c r="I32" i="12"/>
  <c r="C201" i="7"/>
  <c r="H32" i="12"/>
  <c r="B20" i="9"/>
  <c r="I20" i="9"/>
  <c r="M34" i="12"/>
  <c r="N34" i="12"/>
  <c r="C75" i="9"/>
  <c r="E75" i="9"/>
  <c r="E82" i="9"/>
  <c r="I82" i="9"/>
  <c r="Q31" i="17"/>
  <c r="R31" i="17"/>
  <c r="F70" i="7"/>
  <c r="C184" i="7"/>
  <c r="C191" i="7"/>
  <c r="I184" i="7"/>
  <c r="I186" i="7"/>
  <c r="F107" i="11"/>
  <c r="G219" i="7"/>
  <c r="C243" i="9"/>
  <c r="E243" i="9"/>
  <c r="D219" i="7"/>
  <c r="C216" i="7"/>
  <c r="C225" i="7"/>
  <c r="D218" i="7"/>
  <c r="L231" i="7"/>
  <c r="C281" i="9"/>
  <c r="C287" i="9"/>
  <c r="C190" i="7"/>
  <c r="C81" i="9"/>
  <c r="E81" i="9"/>
  <c r="E244" i="9"/>
  <c r="E210" i="9"/>
  <c r="G210" i="9"/>
  <c r="G215" i="9"/>
  <c r="I215" i="9"/>
  <c r="I218" i="9"/>
  <c r="I252" i="9"/>
  <c r="Q39" i="17"/>
  <c r="R39" i="17"/>
  <c r="E247" i="9"/>
  <c r="J201" i="7"/>
  <c r="K201" i="7"/>
  <c r="D207" i="7"/>
  <c r="D70" i="7"/>
  <c r="N47" i="7"/>
  <c r="N48" i="7"/>
  <c r="G24" i="15"/>
  <c r="H231" i="7"/>
  <c r="C228" i="9"/>
  <c r="E228" i="9"/>
  <c r="E234" i="9"/>
  <c r="I234" i="9"/>
  <c r="Q35" i="12"/>
  <c r="R35" i="12"/>
  <c r="I212" i="6"/>
  <c r="D28" i="11"/>
  <c r="D211" i="6"/>
  <c r="D218" i="6"/>
  <c r="O252" i="7"/>
  <c r="O107" i="11"/>
  <c r="Q42" i="11"/>
  <c r="E11" i="14"/>
  <c r="D119" i="7"/>
  <c r="F119" i="7"/>
  <c r="D196" i="6"/>
  <c r="D192" i="6"/>
  <c r="D193" i="6"/>
  <c r="D194" i="6"/>
  <c r="D195" i="6"/>
  <c r="R20" i="17"/>
  <c r="R18" i="17"/>
  <c r="R14" i="17"/>
  <c r="R16" i="17"/>
  <c r="R21" i="17"/>
  <c r="R19" i="17"/>
  <c r="C80" i="8"/>
  <c r="E80" i="8"/>
  <c r="E87" i="8"/>
  <c r="I87" i="8"/>
  <c r="Q13" i="17"/>
  <c r="Q24" i="17"/>
  <c r="R17" i="17"/>
  <c r="H67" i="7"/>
  <c r="C241" i="9"/>
  <c r="C294" i="9"/>
  <c r="C301" i="9"/>
  <c r="E38" i="12"/>
  <c r="E36" i="12"/>
  <c r="E37" i="12"/>
  <c r="E34" i="12"/>
  <c r="E32" i="12"/>
  <c r="E35" i="12"/>
  <c r="E33" i="12"/>
  <c r="D63" i="11"/>
  <c r="D31" i="12"/>
  <c r="D41" i="12"/>
  <c r="C40" i="15"/>
  <c r="B70" i="7"/>
  <c r="H70" i="7"/>
  <c r="C230" i="7"/>
  <c r="H232" i="7"/>
  <c r="Q233" i="7"/>
  <c r="S233" i="7"/>
  <c r="E267" i="9"/>
  <c r="G267" i="9"/>
  <c r="I267" i="9"/>
  <c r="T113" i="7"/>
  <c r="X113" i="7"/>
  <c r="G217" i="7"/>
  <c r="G224" i="7"/>
  <c r="Q95" i="11"/>
  <c r="H34" i="12"/>
  <c r="I34" i="12"/>
  <c r="C27" i="7"/>
  <c r="H27" i="7"/>
  <c r="C189" i="7"/>
  <c r="R254" i="7"/>
  <c r="R256" i="7"/>
  <c r="T119" i="7"/>
  <c r="X119" i="7"/>
  <c r="C26" i="7"/>
  <c r="H26" i="7"/>
  <c r="C188" i="7"/>
  <c r="D188" i="7"/>
  <c r="C25" i="7"/>
  <c r="H25" i="7"/>
  <c r="C221" i="7"/>
  <c r="G220" i="7"/>
  <c r="C244" i="9"/>
  <c r="C297" i="9"/>
  <c r="E297" i="9"/>
  <c r="C36" i="7"/>
  <c r="H36" i="7"/>
  <c r="C224" i="7"/>
  <c r="G223" i="7"/>
  <c r="C247" i="9"/>
  <c r="C300" i="9"/>
  <c r="E300" i="9"/>
  <c r="B73" i="7"/>
  <c r="F73" i="7"/>
  <c r="B113" i="7"/>
  <c r="D113" i="7"/>
  <c r="B119" i="7"/>
  <c r="K119" i="7"/>
  <c r="O119" i="7"/>
  <c r="C229" i="7"/>
  <c r="D229" i="7"/>
  <c r="E229" i="7"/>
  <c r="E237" i="7"/>
  <c r="C220" i="7"/>
  <c r="D220" i="7"/>
  <c r="C24" i="7"/>
  <c r="H24" i="7"/>
  <c r="C207" i="7"/>
  <c r="C121" i="9"/>
  <c r="E121" i="9"/>
  <c r="G201" i="7"/>
  <c r="G211" i="6"/>
  <c r="C211" i="6"/>
  <c r="C190" i="6"/>
  <c r="C197" i="6"/>
  <c r="C7" i="7"/>
  <c r="C8" i="7"/>
  <c r="C17" i="7"/>
  <c r="H17" i="7"/>
  <c r="B67" i="7"/>
  <c r="D67" i="7"/>
  <c r="B76" i="7"/>
  <c r="F76" i="7"/>
  <c r="C194" i="7"/>
  <c r="D194" i="7"/>
  <c r="G194" i="7"/>
  <c r="D8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Carlo Vargas Jeri</author>
  </authors>
  <commentList>
    <comment ref="C95" authorId="0" shapeId="0" xr:uid="{2117C643-C5A4-4385-A084-608D12E506CE}">
      <text>
        <r>
          <rPr>
            <b/>
            <sz val="9"/>
            <color indexed="81"/>
            <rFont val="Tahoma"/>
            <family val="2"/>
          </rPr>
          <t>Luis Carlo Vargas Jeri:</t>
        </r>
        <r>
          <rPr>
            <sz val="9"/>
            <color indexed="81"/>
            <rFont val="Tahoma"/>
            <family val="2"/>
          </rPr>
          <t xml:space="preserve">
=+Principal!T83/1000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Carlo Vargas Jeri</author>
  </authors>
  <commentList>
    <comment ref="C48" authorId="0" shapeId="0" xr:uid="{2CBD902A-F6A4-4FEF-8AD5-D6A94D3C9A92}">
      <text>
        <r>
          <rPr>
            <b/>
            <sz val="9"/>
            <color indexed="81"/>
            <rFont val="Tahoma"/>
            <family val="2"/>
          </rPr>
          <t>Luis Carlo Vargas Jeri:</t>
        </r>
        <r>
          <rPr>
            <sz val="9"/>
            <color indexed="81"/>
            <rFont val="Tahoma"/>
            <family val="2"/>
          </rPr>
          <t xml:space="preserve">
=+(Principal!T81-Principal!O81)</t>
        </r>
      </text>
    </comment>
  </commentList>
</comments>
</file>

<file path=xl/sharedStrings.xml><?xml version="1.0" encoding="utf-8"?>
<sst xmlns="http://schemas.openxmlformats.org/spreadsheetml/2006/main" count="3726" uniqueCount="802">
  <si>
    <t xml:space="preserve">CONFORMACIÓN DE CAMAS </t>
  </si>
  <si>
    <t>CAMA</t>
  </si>
  <si>
    <t>LOTE</t>
  </si>
  <si>
    <t>TMH</t>
  </si>
  <si>
    <t>TMS</t>
  </si>
  <si>
    <t>S</t>
  </si>
  <si>
    <t>Pb</t>
  </si>
  <si>
    <t>Sn</t>
  </si>
  <si>
    <t>Sb</t>
  </si>
  <si>
    <t>As</t>
  </si>
  <si>
    <t>Fe</t>
  </si>
  <si>
    <t>L040464</t>
  </si>
  <si>
    <t>TOTAL</t>
  </si>
  <si>
    <r>
      <t>H</t>
    </r>
    <r>
      <rPr>
        <b/>
        <vertAlign val="subscript"/>
        <sz val="11"/>
        <rFont val="Arial"/>
        <family val="2"/>
      </rPr>
      <t>2</t>
    </r>
    <r>
      <rPr>
        <b/>
        <sz val="11"/>
        <rFont val="Arial"/>
        <family val="2"/>
      </rPr>
      <t>O</t>
    </r>
  </si>
  <si>
    <r>
      <t>SiO</t>
    </r>
    <r>
      <rPr>
        <b/>
        <vertAlign val="subscript"/>
        <sz val="11"/>
        <rFont val="Arial"/>
        <family val="2"/>
      </rPr>
      <t>2</t>
    </r>
  </si>
  <si>
    <r>
      <t>Al</t>
    </r>
    <r>
      <rPr>
        <b/>
        <vertAlign val="subscript"/>
        <sz val="11"/>
        <color indexed="63"/>
        <rFont val="Arial"/>
        <family val="2"/>
      </rPr>
      <t>2</t>
    </r>
    <r>
      <rPr>
        <b/>
        <sz val="11"/>
        <color indexed="63"/>
        <rFont val="Arial"/>
        <family val="2"/>
      </rPr>
      <t>O</t>
    </r>
    <r>
      <rPr>
        <b/>
        <vertAlign val="subscript"/>
        <sz val="11"/>
        <color indexed="63"/>
        <rFont val="Arial"/>
        <family val="2"/>
      </rPr>
      <t>3</t>
    </r>
  </si>
  <si>
    <t>DISTRIBUCION DE LOTES POR ORDEN DE PRODUCCION</t>
  </si>
  <si>
    <t>CAMA 09  -  COMPARTIMIENTO # 01  -  606 TM ( 600 TM + 6 TM Dross Cu ) -  CAMPAÑA Q</t>
  </si>
  <si>
    <t>ORDEN PROCESO</t>
  </si>
  <si>
    <t>Lote / 
Batch</t>
  </si>
  <si>
    <t>CONCENTRADO</t>
  </si>
  <si>
    <t>CALIZA (TM)</t>
  </si>
  <si>
    <t xml:space="preserve">PELLET (TM)    </t>
  </si>
  <si>
    <t>Dross Fe
Zarandeado
(TM)</t>
  </si>
  <si>
    <t>Escoria
Alta Ley H.A. (TM)</t>
  </si>
  <si>
    <t>Mineral
 Hierro                (TM)</t>
  </si>
  <si>
    <t>Ratio
RECIR (TM) / CONC (TMH)</t>
  </si>
  <si>
    <t xml:space="preserve">Ratio       </t>
  </si>
  <si>
    <t>Concentrado</t>
  </si>
  <si>
    <t>Lote</t>
  </si>
  <si>
    <t xml:space="preserve"> TMH</t>
  </si>
  <si>
    <t>TMH /
 Batch</t>
  </si>
  <si>
    <t>Travertino</t>
  </si>
  <si>
    <t>Dolomítica</t>
  </si>
  <si>
    <t>Peso /
Batch</t>
  </si>
  <si>
    <t>Humos
+
Fe</t>
  </si>
  <si>
    <t>Humos
+
Oxidos</t>
  </si>
  <si>
    <t>Humos
+
Conc. Sec</t>
  </si>
  <si>
    <t>Benavides</t>
  </si>
  <si>
    <t>CimalSA</t>
  </si>
  <si>
    <t>TEORICO</t>
  </si>
  <si>
    <t>CALCU-
LADO</t>
  </si>
  <si>
    <t>Gravimétrico</t>
  </si>
  <si>
    <t>L040468</t>
  </si>
  <si>
    <t>L040388</t>
  </si>
  <si>
    <t>L040445</t>
  </si>
  <si>
    <t>L040479</t>
  </si>
  <si>
    <t>L040483</t>
  </si>
  <si>
    <t>L040487</t>
  </si>
  <si>
    <t>L040497</t>
  </si>
  <si>
    <t>L040379</t>
  </si>
  <si>
    <t>L040387</t>
  </si>
  <si>
    <t>L040390</t>
  </si>
  <si>
    <t>L040410</t>
  </si>
  <si>
    <t>L040421</t>
  </si>
  <si>
    <t>L040422</t>
  </si>
  <si>
    <t>L040425</t>
  </si>
  <si>
    <t>L040427</t>
  </si>
  <si>
    <t>L040428</t>
  </si>
  <si>
    <t>L040429</t>
  </si>
  <si>
    <t>L040436</t>
  </si>
  <si>
    <t>Dross Cu</t>
  </si>
  <si>
    <t>L040446</t>
  </si>
  <si>
    <t>L040448</t>
  </si>
  <si>
    <t>L040450</t>
  </si>
  <si>
    <t>NOTA:</t>
  </si>
  <si>
    <t>Tolva
N°</t>
  </si>
  <si>
    <t>Pellet</t>
  </si>
  <si>
    <t xml:space="preserve">Carga </t>
  </si>
  <si>
    <t>Relación</t>
  </si>
  <si>
    <t>Distrib. de Recirculantes, Insumos / Batch (TM)</t>
  </si>
  <si>
    <t>Tenor de Concentrado</t>
  </si>
  <si>
    <t>Fino total
Alimentado</t>
  </si>
  <si>
    <t>TM/Lote</t>
  </si>
  <si>
    <t>Humos</t>
  </si>
  <si>
    <t>Cu</t>
  </si>
  <si>
    <t>Conc. Sec.</t>
  </si>
  <si>
    <t>03
05
07</t>
  </si>
  <si>
    <t>Humos + Oxidos</t>
  </si>
  <si>
    <t>-</t>
  </si>
  <si>
    <t>Sn, %</t>
  </si>
  <si>
    <t>SiO2 %</t>
  </si>
  <si>
    <t>Sn, TMF/Lote</t>
  </si>
  <si>
    <t>Humos + Fe</t>
  </si>
  <si>
    <t>2:1</t>
  </si>
  <si>
    <t>Promedio</t>
  </si>
  <si>
    <t>Humos + C. Sec</t>
  </si>
  <si>
    <t>4:1</t>
  </si>
  <si>
    <t>Máximo</t>
  </si>
  <si>
    <t>Total</t>
  </si>
  <si>
    <t>Mínimo</t>
  </si>
  <si>
    <r>
      <t>CaO / SiO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</t>
    </r>
  </si>
  <si>
    <r>
      <t>Fe</t>
    </r>
    <r>
      <rPr>
        <b/>
        <sz val="10"/>
        <rFont val="Arial"/>
        <family val="2"/>
      </rPr>
      <t>, %</t>
    </r>
  </si>
  <si>
    <t>SiO2</t>
  </si>
  <si>
    <t>%Al2O3</t>
  </si>
  <si>
    <t>Oxidos</t>
  </si>
  <si>
    <t xml:space="preserve">%CaO </t>
  </si>
  <si>
    <t>%SiO2</t>
  </si>
  <si>
    <t>%MgO</t>
  </si>
  <si>
    <t>TRAVERTINO</t>
  </si>
  <si>
    <t>DOLOMITICA</t>
  </si>
  <si>
    <t>SAN RAFAEL</t>
  </si>
  <si>
    <t xml:space="preserve">CUT OFF </t>
  </si>
  <si>
    <t>Otros</t>
  </si>
  <si>
    <t>SnO2</t>
  </si>
  <si>
    <t>Al2O3</t>
  </si>
  <si>
    <t>FeS2</t>
  </si>
  <si>
    <t>MINERALOGIA</t>
  </si>
  <si>
    <t>Al</t>
  </si>
  <si>
    <t>Mg</t>
  </si>
  <si>
    <t>Na</t>
  </si>
  <si>
    <t>O</t>
  </si>
  <si>
    <t>PA</t>
  </si>
  <si>
    <t>Humedad</t>
  </si>
  <si>
    <t>CaCO3</t>
  </si>
  <si>
    <t>MgCO3</t>
  </si>
  <si>
    <t>ANALISIS QUIMICOS</t>
  </si>
  <si>
    <t>CIMALSA</t>
  </si>
  <si>
    <t>OTROS</t>
  </si>
  <si>
    <t>ANALISIS QUIMICO</t>
  </si>
  <si>
    <t>CALIZAS</t>
  </si>
  <si>
    <t>RECIRCULANTES</t>
  </si>
  <si>
    <t>Dross Cobre</t>
  </si>
  <si>
    <t>Dross Soda</t>
  </si>
  <si>
    <t>Escoria H.A.</t>
  </si>
  <si>
    <t>Escoria H.R.</t>
  </si>
  <si>
    <t>Mineral Fe</t>
  </si>
  <si>
    <t>Dross Fe zarand.</t>
  </si>
  <si>
    <t>Dross Fe fino</t>
  </si>
  <si>
    <t>CaO</t>
  </si>
  <si>
    <t>Conc. Secundario</t>
  </si>
  <si>
    <t>MgO</t>
  </si>
  <si>
    <t>Fe2O3</t>
  </si>
  <si>
    <t>SnS</t>
  </si>
  <si>
    <t>FeO</t>
  </si>
  <si>
    <t>Cu2S</t>
  </si>
  <si>
    <t>SnO</t>
  </si>
  <si>
    <t>CARGA POR BATCH</t>
  </si>
  <si>
    <t>CALIZA</t>
  </si>
  <si>
    <t>HUMEDAD</t>
  </si>
  <si>
    <t>Material</t>
  </si>
  <si>
    <t>Proporcion</t>
  </si>
  <si>
    <t>D. Fe fino</t>
  </si>
  <si>
    <t>D. Fe zarand.</t>
  </si>
  <si>
    <t>D. Cobre</t>
  </si>
  <si>
    <t>D. Soda</t>
  </si>
  <si>
    <t>Al(OH)3</t>
  </si>
  <si>
    <t>Peso</t>
  </si>
  <si>
    <t>Arena silice</t>
  </si>
  <si>
    <t>Arena Silice</t>
  </si>
  <si>
    <t>H2O</t>
  </si>
  <si>
    <t>TM</t>
  </si>
  <si>
    <t>Calizas</t>
  </si>
  <si>
    <t>Recirculantes</t>
  </si>
  <si>
    <t>CARBONES</t>
  </si>
  <si>
    <t>BRADFORT</t>
  </si>
  <si>
    <t>C</t>
  </si>
  <si>
    <t>H</t>
  </si>
  <si>
    <t>N</t>
  </si>
  <si>
    <t>ASH</t>
  </si>
  <si>
    <t>CARBON</t>
  </si>
  <si>
    <t>Selección</t>
  </si>
  <si>
    <t>COMBUSTIBLE</t>
  </si>
  <si>
    <t>BUNKER C</t>
  </si>
  <si>
    <t>GAS NATURAL</t>
  </si>
  <si>
    <t>SnO2 + 2 CO = Sn + 2 CO2</t>
  </si>
  <si>
    <t>C + CO2 = 2 CO</t>
  </si>
  <si>
    <t>Fe + SnO = FeO + Sn</t>
  </si>
  <si>
    <t>smelting</t>
  </si>
  <si>
    <t>gral</t>
  </si>
  <si>
    <t>SnO2 + C = SnO + CO</t>
  </si>
  <si>
    <t>SnO2 + 2 C = Sn + 2 CO</t>
  </si>
  <si>
    <t>Fe2O3 + C = 2 FeO + CO</t>
  </si>
  <si>
    <t>FeO + C = Fe + CO</t>
  </si>
  <si>
    <t>2 FeO + CO2 = Fe2O3 + CO</t>
  </si>
  <si>
    <t>combustion completa CO2+H2O</t>
  </si>
  <si>
    <t xml:space="preserve"> Fe2O3 + C = 2FeO + CO</t>
  </si>
  <si>
    <t>PbO + C = Pb + CO</t>
  </si>
  <si>
    <t>As2O3 + 3C = 2 As + 3 CO</t>
  </si>
  <si>
    <t>CaCO3 = CaO + CO2</t>
  </si>
  <si>
    <t xml:space="preserve">Sn + FeO = SnO + Fe </t>
  </si>
  <si>
    <t>Zona post combustion</t>
  </si>
  <si>
    <t>CO + 0.5 O2 = CO2</t>
  </si>
  <si>
    <t>SnO + 0.5 O2 = SnO2</t>
  </si>
  <si>
    <t>SnS + 2.5 O2 = SnO2 + SO2</t>
  </si>
  <si>
    <t>C volatiles + n O2 = a CO2 + b H2O</t>
  </si>
  <si>
    <t>SnO + C = Sn + CO</t>
  </si>
  <si>
    <t xml:space="preserve">FeO + C = Fe + CO </t>
  </si>
  <si>
    <t>Sn + FeO = SnO + Fe</t>
  </si>
  <si>
    <t xml:space="preserve">reduccion </t>
  </si>
  <si>
    <t>lance</t>
  </si>
  <si>
    <t>oil + n O2 = a CO2 + b H2O</t>
  </si>
  <si>
    <t>FeS2 + SnO2 = SnS + FeO + SO2</t>
  </si>
  <si>
    <t>+</t>
  </si>
  <si>
    <t>=</t>
  </si>
  <si>
    <t>CO</t>
  </si>
  <si>
    <t>Distribucion del SnO</t>
  </si>
  <si>
    <t>A gas (SnO)</t>
  </si>
  <si>
    <t>A escoria (SnO)</t>
  </si>
  <si>
    <t>SnO (v)</t>
  </si>
  <si>
    <t>SnO (esc)</t>
  </si>
  <si>
    <t>0.5 S2</t>
  </si>
  <si>
    <t>2 FeO</t>
  </si>
  <si>
    <t>2 Sn</t>
  </si>
  <si>
    <t>Distribucion de FeO a Fe</t>
  </si>
  <si>
    <t>%FeO a Fe</t>
  </si>
  <si>
    <t xml:space="preserve">FeO </t>
  </si>
  <si>
    <t>FeO (esc)</t>
  </si>
  <si>
    <t>FeSn2</t>
  </si>
  <si>
    <t>Metal</t>
  </si>
  <si>
    <t>Dross Fe</t>
  </si>
  <si>
    <t>Escoria</t>
  </si>
  <si>
    <t>%</t>
  </si>
  <si>
    <t>COMBUSTIBLES</t>
  </si>
  <si>
    <t>PCI</t>
  </si>
  <si>
    <t>CH4</t>
  </si>
  <si>
    <t>C2H6</t>
  </si>
  <si>
    <t>CO2</t>
  </si>
  <si>
    <t>C3H8</t>
  </si>
  <si>
    <t>N2</t>
  </si>
  <si>
    <t>kcal/kg</t>
  </si>
  <si>
    <t>kcal/m3</t>
  </si>
  <si>
    <t>ESCORIA</t>
  </si>
  <si>
    <t>%Fe</t>
  </si>
  <si>
    <t>Carbon</t>
  </si>
  <si>
    <t>Combustible</t>
  </si>
  <si>
    <t>Aire</t>
  </si>
  <si>
    <t>Oxigeno</t>
  </si>
  <si>
    <t>Total secas</t>
  </si>
  <si>
    <t>tm</t>
  </si>
  <si>
    <t>METAL</t>
  </si>
  <si>
    <t>HUMOS</t>
  </si>
  <si>
    <t>DROSS Fe</t>
  </si>
  <si>
    <t>Fusion</t>
  </si>
  <si>
    <t>Reduccion</t>
  </si>
  <si>
    <t>%Sn escoria fin fusion</t>
  </si>
  <si>
    <t>m3/h</t>
  </si>
  <si>
    <t>m3</t>
  </si>
  <si>
    <t>GASES</t>
  </si>
  <si>
    <t>SO2</t>
  </si>
  <si>
    <t>S2</t>
  </si>
  <si>
    <t>% V</t>
  </si>
  <si>
    <t>2 Cu</t>
  </si>
  <si>
    <t>0.5 O2</t>
  </si>
  <si>
    <t>Reacciones con oxigeno libre</t>
  </si>
  <si>
    <t>O2</t>
  </si>
  <si>
    <t>%V</t>
  </si>
  <si>
    <t>Reacciones de post-combustion</t>
  </si>
  <si>
    <t>2 O2</t>
  </si>
  <si>
    <t>Aire post-combustion</t>
  </si>
  <si>
    <t>Aire de infiltración</t>
  </si>
  <si>
    <t>Total aire</t>
  </si>
  <si>
    <t>REACCIONES QUIMICAS</t>
  </si>
  <si>
    <t>INGRESOS DE CARGA</t>
  </si>
  <si>
    <t>Total humedas</t>
  </si>
  <si>
    <t>INGRESOS DE COMBUSTION</t>
  </si>
  <si>
    <t>BALANCE DE MATERIA - ETAPA FUSION</t>
  </si>
  <si>
    <t>A.Atomiz.</t>
  </si>
  <si>
    <t>Factor de combustible calculado</t>
  </si>
  <si>
    <t>kg/hr</t>
  </si>
  <si>
    <t>hr</t>
  </si>
  <si>
    <t>Enriquecimiento O2</t>
  </si>
  <si>
    <t>Aire Atomización</t>
  </si>
  <si>
    <t>Estequiometria</t>
  </si>
  <si>
    <t>Tiempo de fusión</t>
  </si>
  <si>
    <t>DATOS</t>
  </si>
  <si>
    <t>Humedad de aire</t>
  </si>
  <si>
    <t>Pureza de oxigeno</t>
  </si>
  <si>
    <t>Nm3/h</t>
  </si>
  <si>
    <t>Nm3 aire/kg</t>
  </si>
  <si>
    <t>Calculo Aire - Oxigeno</t>
  </si>
  <si>
    <t>Nm3</t>
  </si>
  <si>
    <t>Matriz</t>
  </si>
  <si>
    <t>Resultados</t>
  </si>
  <si>
    <t>Oxigeno Libre</t>
  </si>
  <si>
    <t>C Libre</t>
  </si>
  <si>
    <t>A metal y dross (Sn)</t>
  </si>
  <si>
    <t>FACTORES DE DISTRIBUCION</t>
  </si>
  <si>
    <t>Distribucion total de Fe</t>
  </si>
  <si>
    <t>Distribucion del Fe en fusion y reduccion</t>
  </si>
  <si>
    <t>Distribucion de Otros</t>
  </si>
  <si>
    <t>Distribucion de Elementos Menores</t>
  </si>
  <si>
    <t>Distribucion de O2 libre</t>
  </si>
  <si>
    <t>SALIDAS DE PRODUCTOS</t>
  </si>
  <si>
    <t>Despues de post-combustion</t>
  </si>
  <si>
    <t>Aire post-combustion + aire infiltrado</t>
  </si>
  <si>
    <t>O2 para combustionar totalmente el CO a CO2</t>
  </si>
  <si>
    <t>BALANCE POR ELEMENTOS</t>
  </si>
  <si>
    <t>Entrada</t>
  </si>
  <si>
    <t>Salida</t>
  </si>
  <si>
    <t>Diferencia</t>
  </si>
  <si>
    <t>Nivel Inicial de Escoria</t>
  </si>
  <si>
    <t>mm</t>
  </si>
  <si>
    <t>Diametro interno horno</t>
  </si>
  <si>
    <t>m</t>
  </si>
  <si>
    <t>Densidad de escoria</t>
  </si>
  <si>
    <t>gr/cm3</t>
  </si>
  <si>
    <t>Peso Inicial de Escoria</t>
  </si>
  <si>
    <t>Aportacion de MgO del refractario a la escoria</t>
  </si>
  <si>
    <t>kg/batch</t>
  </si>
  <si>
    <t>BALANCE DE MATERIA - ETAPA REDUCCION</t>
  </si>
  <si>
    <t>callanas</t>
  </si>
  <si>
    <t>tm metal/callana</t>
  </si>
  <si>
    <t>Tiempo de reduccion</t>
  </si>
  <si>
    <t>%Sn escoria fin reduccion</t>
  </si>
  <si>
    <t>Metal drenado en fusion</t>
  </si>
  <si>
    <t>Metal drenado en reduc.</t>
  </si>
  <si>
    <t>Total (fusion + red.)</t>
  </si>
  <si>
    <t>Nivel de escoria final</t>
  </si>
  <si>
    <t>Escoria drenada</t>
  </si>
  <si>
    <t xml:space="preserve">Dross Fe Total (fusion + red.) </t>
  </si>
  <si>
    <t>Humos Total (fus. + red.)</t>
  </si>
  <si>
    <t>BALANCE DE ENERGIA - ETAPA FUSION</t>
  </si>
  <si>
    <t>Combustion de Petroleo</t>
  </si>
  <si>
    <t>Kcal/TM</t>
  </si>
  <si>
    <t>Kcal</t>
  </si>
  <si>
    <t>Kcal/Kg</t>
  </si>
  <si>
    <t>Calor Sensible del Petroleo</t>
  </si>
  <si>
    <t>Calor Sensible de la Escoria Inicial</t>
  </si>
  <si>
    <t>Calor Sensible del Aire</t>
  </si>
  <si>
    <t>Calor Sensible del Oxigeno</t>
  </si>
  <si>
    <t>Calor por Reacciones Quimicas</t>
  </si>
  <si>
    <t>Calores Latentes y Evaporacion</t>
  </si>
  <si>
    <t>INGRESOS DE CALOR</t>
  </si>
  <si>
    <t>SALIDAS DE CALOR</t>
  </si>
  <si>
    <t>Calor Sensible del Metal</t>
  </si>
  <si>
    <t>Calor Sensible de la Escoria</t>
  </si>
  <si>
    <t>Calor Sensible de Gases</t>
  </si>
  <si>
    <t>Calor Sensible de Dross Fe</t>
  </si>
  <si>
    <t>Calor Sensible de Humos</t>
  </si>
  <si>
    <t>Calor Sensible de Agua de Refrigeracion</t>
  </si>
  <si>
    <t>Perdidas de Calor</t>
  </si>
  <si>
    <t>T ºC</t>
  </si>
  <si>
    <t>Temperatura</t>
  </si>
  <si>
    <t>ºC</t>
  </si>
  <si>
    <t xml:space="preserve">SnO2 + C = SnO + CO  </t>
  </si>
  <si>
    <t>FeS2 + SnO = SnS + FeO + 0.5 S2</t>
  </si>
  <si>
    <t xml:space="preserve">FeSn2   = 2 Sn + Fe  </t>
  </si>
  <si>
    <t xml:space="preserve">Fe + SnO = FeO + Sn  </t>
  </si>
  <si>
    <t xml:space="preserve">SnO + C = Sn + CO  </t>
  </si>
  <si>
    <t xml:space="preserve">Fe2O3 + C = 2 FeO + CO  </t>
  </si>
  <si>
    <t xml:space="preserve">FeO + C = Fe + CO  </t>
  </si>
  <si>
    <t xml:space="preserve">CaCO3  = CaO + CO2  </t>
  </si>
  <si>
    <t xml:space="preserve">MgCO3  = MgO + CO2  </t>
  </si>
  <si>
    <t xml:space="preserve">Cu2S + Sn = SnS + 2 Cu  </t>
  </si>
  <si>
    <t xml:space="preserve">S + Sn = SnS    </t>
  </si>
  <si>
    <t xml:space="preserve">SnO + 0.5 O2 = SnO2    </t>
  </si>
  <si>
    <t xml:space="preserve">SnS + 2 O2 = SnO2 + SO2  </t>
  </si>
  <si>
    <t xml:space="preserve">0.5 S2 + O2 = SO2    </t>
  </si>
  <si>
    <t>TM A</t>
  </si>
  <si>
    <t>A + B = C + D</t>
  </si>
  <si>
    <t xml:space="preserve">C + 0.5 O2  = CO    </t>
  </si>
  <si>
    <t xml:space="preserve">CO + 0.5 O2 = CO2    </t>
  </si>
  <si>
    <t>TOTAL CALOR INGRESO</t>
  </si>
  <si>
    <t>Flujo de agua</t>
  </si>
  <si>
    <t>Temperatura Final</t>
  </si>
  <si>
    <t>Temperatura Inicial</t>
  </si>
  <si>
    <t>Calor</t>
  </si>
  <si>
    <t>% Perdidas de Calor</t>
  </si>
  <si>
    <t>TOTAL CALOR SALIDA</t>
  </si>
  <si>
    <t>Mcal</t>
  </si>
  <si>
    <t>ZONA HORNO AUSMELT</t>
  </si>
  <si>
    <t>ZONA POST-COMBUSTION</t>
  </si>
  <si>
    <t>Calor Sensible de Aire (no infiltracion)</t>
  </si>
  <si>
    <t>Calor sensible</t>
  </si>
  <si>
    <t>K</t>
  </si>
  <si>
    <t>Inicio To</t>
  </si>
  <si>
    <t>Calor hasta</t>
  </si>
  <si>
    <t>Cp = a + b10(-3)*T + c10(5)*T^(-2)</t>
  </si>
  <si>
    <t>cal/mol</t>
  </si>
  <si>
    <t>PM</t>
  </si>
  <si>
    <t>Temp. (ºK)</t>
  </si>
  <si>
    <t>To cal/mol</t>
  </si>
  <si>
    <t>a</t>
  </si>
  <si>
    <t>b</t>
  </si>
  <si>
    <t>c</t>
  </si>
  <si>
    <t>H(T-298)</t>
  </si>
  <si>
    <t>SnO v</t>
  </si>
  <si>
    <t>SnS v</t>
  </si>
  <si>
    <t>J/kg-K</t>
  </si>
  <si>
    <t>Kcal/mol</t>
  </si>
  <si>
    <t>PM A</t>
  </si>
  <si>
    <t>Kcal/kg</t>
  </si>
  <si>
    <t>Reacciones Quimicas Exotermicas</t>
  </si>
  <si>
    <t>Reacciones Quimicas Endotermicas</t>
  </si>
  <si>
    <t>CO -&gt; CO2</t>
  </si>
  <si>
    <t>C -&gt; CO</t>
  </si>
  <si>
    <t>Evaporacion agua</t>
  </si>
  <si>
    <t>Sn(s) = Sn(l)</t>
  </si>
  <si>
    <t>SnO(s) = SnO(g)</t>
  </si>
  <si>
    <t>SnS(s) = SnS(g)</t>
  </si>
  <si>
    <t>revisar</t>
  </si>
  <si>
    <t>2CO2</t>
  </si>
  <si>
    <t>3 H2O</t>
  </si>
  <si>
    <t>3.5 O2</t>
  </si>
  <si>
    <t>2 CO2</t>
  </si>
  <si>
    <t xml:space="preserve">C2H6 + 3.5 O2 = 2 CO2 + 3 H2O  </t>
  </si>
  <si>
    <t>% max</t>
  </si>
  <si>
    <t xml:space="preserve">C2H6 + 3.5 O2 = 2 CO2 + 3 H2O   </t>
  </si>
  <si>
    <t>BALANCE DE ENERGIA - ETAPA REDUCCION</t>
  </si>
  <si>
    <t>Calor Sensible del Metal Inicial</t>
  </si>
  <si>
    <t>Evaporacion del agua de carga</t>
  </si>
  <si>
    <t>consumo agua</t>
  </si>
  <si>
    <t>kg/h</t>
  </si>
  <si>
    <t>Por Chimenea</t>
  </si>
  <si>
    <t>GAS COOLER</t>
  </si>
  <si>
    <t>TOTAL CALOR ENTRADA</t>
  </si>
  <si>
    <t>VARIABLES DE OPERACIÓN</t>
  </si>
  <si>
    <t>COMPOSICION QUIMICA</t>
  </si>
  <si>
    <t>RESULTADOS DEL BALANCE</t>
  </si>
  <si>
    <t>ETAPA DE FUSION</t>
  </si>
  <si>
    <t>ETAPA DE REDUCCION</t>
  </si>
  <si>
    <t>%Sn</t>
  </si>
  <si>
    <t>%CaO</t>
  </si>
  <si>
    <t>BATCH #</t>
  </si>
  <si>
    <t>%Hum.</t>
  </si>
  <si>
    <t>CAMA #</t>
  </si>
  <si>
    <t>ENRIQUECIMIENTO O2</t>
  </si>
  <si>
    <t>ESTEQUIOMETRIA</t>
  </si>
  <si>
    <t>TIEMPO DE FUSION</t>
  </si>
  <si>
    <t>NIVEL INICIAL DE ESCORIA</t>
  </si>
  <si>
    <t>%Sn ESCORIA FIN DE FUSION</t>
  </si>
  <si>
    <t>AIRE DE POST-COMBUSTION</t>
  </si>
  <si>
    <t>AIRE DE INFILTRACION</t>
  </si>
  <si>
    <t>METAL DRENADO</t>
  </si>
  <si>
    <t>Kg/h</t>
  </si>
  <si>
    <t>Hr</t>
  </si>
  <si>
    <t>Cayanas</t>
  </si>
  <si>
    <t>Kg</t>
  </si>
  <si>
    <t>AIRE LANZA</t>
  </si>
  <si>
    <t>OXIGENO</t>
  </si>
  <si>
    <t>Tm</t>
  </si>
  <si>
    <t>GASES CHIMENEA</t>
  </si>
  <si>
    <t>AGUA GAS COOLER</t>
  </si>
  <si>
    <t>%CO2</t>
  </si>
  <si>
    <t>%CO</t>
  </si>
  <si>
    <t>%N2</t>
  </si>
  <si>
    <t>%SO2</t>
  </si>
  <si>
    <t>%H2O</t>
  </si>
  <si>
    <t>GASES (post-comb.)</t>
  </si>
  <si>
    <t>GASES (chimenea)</t>
  </si>
  <si>
    <t>TEMPERATURA METAL</t>
  </si>
  <si>
    <t>TEMPERATURA ESCORIA</t>
  </si>
  <si>
    <t>TEMPERATURAS</t>
  </si>
  <si>
    <t>TEMPERATURA INICIAL ESCORIA</t>
  </si>
  <si>
    <t>TIEMPO DE REDUCCION</t>
  </si>
  <si>
    <t>NIVEL FINAL DE ESCORIA</t>
  </si>
  <si>
    <t>%Sn ESCORIA FIN DE REDUCCION</t>
  </si>
  <si>
    <t>ESCORIA DRENADA</t>
  </si>
  <si>
    <t xml:space="preserve">                </t>
  </si>
  <si>
    <t>RESUMEN DE BALANCE DE MATERIA</t>
  </si>
  <si>
    <t>RESUMEN DE BALANCE DE ENERGIA</t>
  </si>
  <si>
    <t>RESUMEN DEL  BALANCE DE MATERIA Y ENERGIA DEL HORNO AUSMELT</t>
  </si>
  <si>
    <t>ETAPA FUSION</t>
  </si>
  <si>
    <t xml:space="preserve">ENTRADA </t>
  </si>
  <si>
    <t>SALIDA</t>
  </si>
  <si>
    <t>AIRE LANZA Y ATOMIZACION</t>
  </si>
  <si>
    <t>ESCORIA INICIAL</t>
  </si>
  <si>
    <t>DROSS FE</t>
  </si>
  <si>
    <t>AIRE POST-COMBUSTION</t>
  </si>
  <si>
    <t>AIRE INFILTRACION</t>
  </si>
  <si>
    <t>ENTRADA</t>
  </si>
  <si>
    <t>CALOR SENSIBLE PETROLEO</t>
  </si>
  <si>
    <t>CALOR SENSIBLE AIRE Y OXI.</t>
  </si>
  <si>
    <t>CALOR SENSIBLE ESCORIA INICIAL</t>
  </si>
  <si>
    <t>RXNS. EXOTERMICAS EN HORNO</t>
  </si>
  <si>
    <t>RXNS. DE POST-COMBUSTION</t>
  </si>
  <si>
    <t>CALOR SENSIBLE METAL</t>
  </si>
  <si>
    <t>CALOR SENSIBLE DROSS FE</t>
  </si>
  <si>
    <t>CALOR SENSIBLE HUMOS</t>
  </si>
  <si>
    <t>CALOR SENSIBLE GASES</t>
  </si>
  <si>
    <t>RXNS. ENDOTERMICAS EN HORNO</t>
  </si>
  <si>
    <t>REFRIGERACION DE AGUA</t>
  </si>
  <si>
    <t>EVAPORACION H2O CARGA</t>
  </si>
  <si>
    <t>PERDIDAS CALOR</t>
  </si>
  <si>
    <t xml:space="preserve">ETAPA REDUCCION </t>
  </si>
  <si>
    <t>ETAPA REDUCCION</t>
  </si>
  <si>
    <t>MCAL</t>
  </si>
  <si>
    <t>METAL EN HORNO</t>
  </si>
  <si>
    <t>ESCORIA EN HORNO</t>
  </si>
  <si>
    <t>CALOR SENSIBLE ESCORIA HORNO</t>
  </si>
  <si>
    <t>CALOR SENSIBLE METAL HORNO</t>
  </si>
  <si>
    <t>TEMPERATURA GASES TAKE OFF</t>
  </si>
  <si>
    <t>TEMPERATURA GASES POST-COMB.</t>
  </si>
  <si>
    <t>FACTORES DE DISTRIBUCION Y OTROS DATOS</t>
  </si>
  <si>
    <t>*</t>
  </si>
  <si>
    <t xml:space="preserve">Aportacion de MgO del </t>
  </si>
  <si>
    <t>refractario a la escoria</t>
  </si>
  <si>
    <t>A gases</t>
  </si>
  <si>
    <t>MATERIAL EN EL HORNO</t>
  </si>
  <si>
    <t>CALOR SENSIBLE ESCORIA</t>
  </si>
  <si>
    <t>Basicidad</t>
  </si>
  <si>
    <t>Composicion escoria inicial</t>
  </si>
  <si>
    <t>Agua de Refrigeracion del Horno</t>
  </si>
  <si>
    <t>Post-Comb.</t>
  </si>
  <si>
    <t>Gas Cooler</t>
  </si>
  <si>
    <t>FUSION</t>
  </si>
  <si>
    <t>REDUCCION</t>
  </si>
  <si>
    <t>Peso de Callana</t>
  </si>
  <si>
    <t>Temperatura Salida Gas Cooler</t>
  </si>
  <si>
    <t>BATCH</t>
  </si>
  <si>
    <t>P.M. promedio</t>
  </si>
  <si>
    <t>BALANCE DE MATERIA Y ENERGIA DEL HORNO AUSMELT</t>
  </si>
  <si>
    <t>BALANCE ENERGIA FUSION</t>
  </si>
  <si>
    <t>HORNO</t>
  </si>
  <si>
    <t>POST COMB</t>
  </si>
  <si>
    <t>Temp</t>
  </si>
  <si>
    <t>Agua</t>
  </si>
  <si>
    <t>BALANCE ENERGIA REDUCCION</t>
  </si>
  <si>
    <t>BALANCE MATERIA FUSION</t>
  </si>
  <si>
    <t>BALANCE MATERIA REDUCCION</t>
  </si>
  <si>
    <t>DIFERENCIA</t>
  </si>
  <si>
    <t>%Sn ESCORIA</t>
  </si>
  <si>
    <t xml:space="preserve">% DISTR. </t>
  </si>
  <si>
    <t>DISTRIBUCION FeO A Fe</t>
  </si>
  <si>
    <t>Aire atomiz</t>
  </si>
  <si>
    <t>Reacciones Exotermicas</t>
  </si>
  <si>
    <t>Flujo Aire Lanzas Gas Cooler</t>
  </si>
  <si>
    <t>%O2</t>
  </si>
  <si>
    <t>prom.</t>
  </si>
  <si>
    <t>BALANCE GENERAL</t>
  </si>
  <si>
    <t>BALANCE MATERIA</t>
  </si>
  <si>
    <t>BALANCE ENERGIA</t>
  </si>
  <si>
    <t>DIFERENCIA FUSION</t>
  </si>
  <si>
    <t>DIFERENCIA REDUCCION</t>
  </si>
  <si>
    <t>Nivel escoria</t>
  </si>
  <si>
    <t>%min</t>
  </si>
  <si>
    <t>%max</t>
  </si>
  <si>
    <t>Fe + 0.5 O2 = FeO</t>
  </si>
  <si>
    <t>Sn + 0.5 O2 = SnO</t>
  </si>
  <si>
    <t>Dross Fe Zarandeado</t>
  </si>
  <si>
    <t>Droos Fe fino</t>
  </si>
  <si>
    <t>% min</t>
  </si>
  <si>
    <t>Factor Reduccion</t>
  </si>
  <si>
    <t>min</t>
  </si>
  <si>
    <t>Automatico/manual</t>
  </si>
  <si>
    <t>password : HA</t>
  </si>
  <si>
    <t>password . HA</t>
  </si>
  <si>
    <t>Na2O</t>
  </si>
  <si>
    <t>Temperatura Metal (Fusión)</t>
  </si>
  <si>
    <t>Temperatura Escoria (Reducción)</t>
  </si>
  <si>
    <t>Controlador de Temperatura</t>
  </si>
  <si>
    <t>GRAVIMETRICO</t>
  </si>
  <si>
    <t>FLOTACION</t>
  </si>
  <si>
    <t>CONCENTRADO GRAVIMETRICO</t>
  </si>
  <si>
    <t>CONCENTRADO FLOTACION</t>
  </si>
  <si>
    <r>
      <t>SiO</t>
    </r>
    <r>
      <rPr>
        <b/>
        <vertAlign val="subscript"/>
        <sz val="10"/>
        <rFont val="Arial"/>
        <family val="2"/>
      </rPr>
      <t>2</t>
    </r>
  </si>
  <si>
    <r>
      <t>Al</t>
    </r>
    <r>
      <rPr>
        <b/>
        <vertAlign val="subscript"/>
        <sz val="10"/>
        <color indexed="63"/>
        <rFont val="Arial"/>
        <family val="2"/>
      </rPr>
      <t>2</t>
    </r>
    <r>
      <rPr>
        <b/>
        <sz val="10"/>
        <color indexed="63"/>
        <rFont val="Arial"/>
        <family val="2"/>
      </rPr>
      <t>O</t>
    </r>
    <r>
      <rPr>
        <b/>
        <vertAlign val="subscript"/>
        <sz val="10"/>
        <color indexed="63"/>
        <rFont val="Arial"/>
        <family val="2"/>
      </rPr>
      <t>3</t>
    </r>
  </si>
  <si>
    <t>Sn total carga</t>
  </si>
  <si>
    <t>Recuperación</t>
  </si>
  <si>
    <t>%P</t>
  </si>
  <si>
    <t>Kcal/m3</t>
  </si>
  <si>
    <t>COMBUSTIBLE GAS NATURAL</t>
  </si>
  <si>
    <t>COMBUSTIBLE GAS</t>
  </si>
  <si>
    <t>COMBUSTION GAS NATURAL</t>
  </si>
  <si>
    <r>
      <t>Nm3 aire/</t>
    </r>
    <r>
      <rPr>
        <b/>
        <sz val="7"/>
        <rFont val="Arial"/>
        <family val="2"/>
      </rPr>
      <t>kg gas</t>
    </r>
  </si>
  <si>
    <r>
      <t>Nm3 aire/</t>
    </r>
    <r>
      <rPr>
        <b/>
        <sz val="7"/>
        <rFont val="Arial"/>
        <family val="2"/>
      </rPr>
      <t>Nm3</t>
    </r>
    <r>
      <rPr>
        <b/>
        <sz val="7"/>
        <rFont val="Arial"/>
        <family val="2"/>
      </rPr>
      <t>gas</t>
    </r>
  </si>
  <si>
    <t>GLP</t>
  </si>
  <si>
    <t>C4H10</t>
  </si>
  <si>
    <t>Peso Molecular Promedio</t>
  </si>
  <si>
    <t>%Volumen</t>
  </si>
  <si>
    <t>%Peso</t>
  </si>
  <si>
    <t>PERFIL TERMICO</t>
  </si>
  <si>
    <t>Tiempo</t>
  </si>
  <si>
    <t>Estequiom</t>
  </si>
  <si>
    <t>Aire Lanza</t>
  </si>
  <si>
    <t>hrs.</t>
  </si>
  <si>
    <t>Nm3/hr</t>
  </si>
  <si>
    <t>aire</t>
  </si>
  <si>
    <t>oxig</t>
  </si>
  <si>
    <t>Tolva 1</t>
  </si>
  <si>
    <t>Tolva 2</t>
  </si>
  <si>
    <t>Tolva 3</t>
  </si>
  <si>
    <t>Tolva 4</t>
  </si>
  <si>
    <t>Tolva 7</t>
  </si>
  <si>
    <t>Fuel factor</t>
  </si>
  <si>
    <t>Aire Atom.</t>
  </si>
  <si>
    <t>Hum. Aire</t>
  </si>
  <si>
    <t xml:space="preserve">Nm3/Nm3 </t>
  </si>
  <si>
    <t>C --&gt; CO</t>
  </si>
  <si>
    <t>Ox. Fe dross</t>
  </si>
  <si>
    <t>Fe --&gt; FeO</t>
  </si>
  <si>
    <t>Diferencia carbon reduccion</t>
  </si>
  <si>
    <t>Set diferencia carbon</t>
  </si>
  <si>
    <t>CALENTAMIENTO O SPLASING</t>
  </si>
  <si>
    <t>T1</t>
  </si>
  <si>
    <t>T2</t>
  </si>
  <si>
    <t>Factores</t>
  </si>
  <si>
    <t>Normal</t>
  </si>
  <si>
    <t>C ---&gt; CO</t>
  </si>
  <si>
    <t>kcal/mol</t>
  </si>
  <si>
    <t>Lanza</t>
  </si>
  <si>
    <t>Codo-T</t>
  </si>
  <si>
    <t>Reacciones de post-combustion Lanza</t>
  </si>
  <si>
    <t xml:space="preserve">Reacciones de post-combustion </t>
  </si>
  <si>
    <t>Reacciones de post-combustion Lanza Codo+T</t>
  </si>
  <si>
    <t>Reacciones de post-combustion Codo-T</t>
  </si>
  <si>
    <t>Proporcion de Reaccion</t>
  </si>
  <si>
    <t>Proporcion de Ingreso</t>
  </si>
  <si>
    <t>Ingresa</t>
  </si>
  <si>
    <t>Reacciona</t>
  </si>
  <si>
    <t>Calentamiento</t>
  </si>
  <si>
    <t>COMBUSTIBLE GAS (*)</t>
  </si>
  <si>
    <t>OXIGENO (*)</t>
  </si>
  <si>
    <t>COMBUSTIBLE (*)</t>
  </si>
  <si>
    <t>OXIDACION + REDUCCION</t>
  </si>
  <si>
    <t>(*) Considera Calentamiento y/o Splasing</t>
  </si>
  <si>
    <t>COMBUSTION COMBUSTIBLE</t>
  </si>
  <si>
    <t>CALOR SENSIBLE COMBUSTIBLE</t>
  </si>
  <si>
    <t>Comb. Acum.</t>
  </si>
  <si>
    <t>Oxig. Acum.</t>
  </si>
  <si>
    <t>Aire Acum.</t>
  </si>
  <si>
    <t>T3</t>
  </si>
  <si>
    <t>T4</t>
  </si>
  <si>
    <t>0-1</t>
  </si>
  <si>
    <t>25-30</t>
  </si>
  <si>
    <t>Conc. Cochas</t>
  </si>
  <si>
    <t>Nm3/tm carga</t>
  </si>
  <si>
    <t>Carbon perdido por tiro en fusion</t>
  </si>
  <si>
    <t>Control</t>
  </si>
  <si>
    <t>NACIONALES</t>
  </si>
  <si>
    <t>IMPORTADO</t>
  </si>
  <si>
    <t>NACIONAL</t>
  </si>
  <si>
    <t>CONCENTRADO OTROS</t>
  </si>
  <si>
    <t>Mcal/hr</t>
  </si>
  <si>
    <t>Red.</t>
  </si>
  <si>
    <t>PERDIDAS DE CALOR EN AUSMELT</t>
  </si>
  <si>
    <t>Q manto = (hc+hr)*Am*dT</t>
  </si>
  <si>
    <t>Q culatas = (hc+hr)*Ac*dT</t>
  </si>
  <si>
    <r>
      <t>Q boca = Eb*&amp;*Ab*(Tb/100)</t>
    </r>
    <r>
      <rPr>
        <b/>
        <vertAlign val="superscript"/>
        <sz val="12"/>
        <rFont val="Arial"/>
        <family val="2"/>
      </rPr>
      <t>4</t>
    </r>
  </si>
  <si>
    <t>dT = Tc-Ta                (oF)</t>
  </si>
  <si>
    <r>
      <t>hc = 0.29*dT</t>
    </r>
    <r>
      <rPr>
        <vertAlign val="superscript"/>
        <sz val="10"/>
        <rFont val="Arial"/>
        <family val="2"/>
      </rPr>
      <t xml:space="preserve">0.25  </t>
    </r>
    <r>
      <rPr>
        <sz val="10"/>
        <rFont val="Arial"/>
        <family val="2"/>
      </rPr>
      <t>(Btu/hr-ft2-oF)</t>
    </r>
  </si>
  <si>
    <r>
      <t>(Btu/hr-ft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-</t>
    </r>
    <r>
      <rPr>
        <vertAlign val="superscript"/>
        <sz val="10"/>
        <rFont val="Arial"/>
        <family val="2"/>
      </rPr>
      <t>o</t>
    </r>
    <r>
      <rPr>
        <sz val="10"/>
        <rFont val="Arial"/>
      </rPr>
      <t>F)</t>
    </r>
  </si>
  <si>
    <t>Tpr = (Tc+Ta)/2         (oR)</t>
  </si>
  <si>
    <r>
      <t>hr = 0.00692*Eac*(Tpr/100)</t>
    </r>
    <r>
      <rPr>
        <vertAlign val="superscript"/>
        <sz val="10"/>
        <rFont val="Arial"/>
        <family val="2"/>
      </rPr>
      <t>3</t>
    </r>
  </si>
  <si>
    <r>
      <t>Am = Pi*De*Le - Ab   (ft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)</t>
    </r>
  </si>
  <si>
    <r>
      <t>Ac = Pi/4*De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*2         (ft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</si>
  <si>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 xml:space="preserve">hc = convección </t>
  </si>
  <si>
    <r>
      <t>Tc = temp. casco (</t>
    </r>
    <r>
      <rPr>
        <vertAlign val="superscript"/>
        <sz val="10"/>
        <rFont val="Arial"/>
        <family val="2"/>
      </rPr>
      <t>o</t>
    </r>
    <r>
      <rPr>
        <sz val="10"/>
        <rFont val="Arial"/>
      </rPr>
      <t>F)</t>
    </r>
  </si>
  <si>
    <r>
      <t>Ac = área culatas (ft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</si>
  <si>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 xml:space="preserve">hr = radiación </t>
  </si>
  <si>
    <r>
      <t>Ta = temp. ambiente (</t>
    </r>
    <r>
      <rPr>
        <vertAlign val="superscript"/>
        <sz val="10"/>
        <rFont val="Arial"/>
        <family val="2"/>
      </rPr>
      <t>o</t>
    </r>
    <r>
      <rPr>
        <sz val="10"/>
        <rFont val="Arial"/>
      </rPr>
      <t>F)</t>
    </r>
  </si>
  <si>
    <r>
      <t>Am = área manto (ft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)</t>
    </r>
  </si>
  <si>
    <t>Eb = emisividad baño</t>
  </si>
  <si>
    <r>
      <t>Tb = temp. baño (</t>
    </r>
    <r>
      <rPr>
        <vertAlign val="superscript"/>
        <sz val="10"/>
        <rFont val="Arial"/>
        <family val="2"/>
      </rPr>
      <t>o</t>
    </r>
    <r>
      <rPr>
        <sz val="10"/>
        <rFont val="Arial"/>
      </rPr>
      <t>R)</t>
    </r>
  </si>
  <si>
    <r>
      <t>Ab = área boca (ft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)</t>
    </r>
  </si>
  <si>
    <t>Eac = emisividad plancha de acero</t>
  </si>
  <si>
    <t>&amp; = radiación cuerpo negro</t>
  </si>
  <si>
    <t>De = diametro exterior (ft)</t>
  </si>
  <si>
    <t>Le = longitud exterior (ft)</t>
  </si>
  <si>
    <t>° C</t>
  </si>
  <si>
    <r>
      <t>o</t>
    </r>
    <r>
      <rPr>
        <sz val="10"/>
        <rFont val="Arial"/>
      </rPr>
      <t>F</t>
    </r>
  </si>
  <si>
    <t>Eb</t>
  </si>
  <si>
    <t>De</t>
  </si>
  <si>
    <t>ft</t>
  </si>
  <si>
    <t>Eac</t>
  </si>
  <si>
    <t>Le</t>
  </si>
  <si>
    <t>&amp;</t>
  </si>
  <si>
    <t>Ab</t>
  </si>
  <si>
    <r>
      <t>ft</t>
    </r>
    <r>
      <rPr>
        <vertAlign val="superscript"/>
        <sz val="10"/>
        <rFont val="Arial"/>
        <family val="2"/>
      </rPr>
      <t>2</t>
    </r>
  </si>
  <si>
    <t>RESULTADOS</t>
  </si>
  <si>
    <t>hc</t>
  </si>
  <si>
    <r>
      <t>btu/hr-ft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-</t>
    </r>
    <r>
      <rPr>
        <vertAlign val="superscript"/>
        <sz val="10"/>
        <rFont val="Arial"/>
        <family val="2"/>
      </rPr>
      <t>o</t>
    </r>
    <r>
      <rPr>
        <sz val="10"/>
        <rFont val="Arial"/>
      </rPr>
      <t>F</t>
    </r>
  </si>
  <si>
    <t>Am</t>
  </si>
  <si>
    <t>Ac</t>
  </si>
  <si>
    <t>Btu/hr</t>
  </si>
  <si>
    <t>MMBtu/dia</t>
  </si>
  <si>
    <t>Mcal/h</t>
  </si>
  <si>
    <t>Q manto</t>
  </si>
  <si>
    <t>Q culatas</t>
  </si>
  <si>
    <t>Q boca</t>
  </si>
  <si>
    <t>Q total</t>
  </si>
  <si>
    <t>Tcasco</t>
  </si>
  <si>
    <t>Tambiente</t>
  </si>
  <si>
    <t>Tbaño</t>
  </si>
  <si>
    <t>TANQUES CABEZA</t>
  </si>
  <si>
    <t>TK1</t>
  </si>
  <si>
    <t>TK2</t>
  </si>
  <si>
    <t>D</t>
  </si>
  <si>
    <t xml:space="preserve">NIVEL </t>
  </si>
  <si>
    <t>Tiempo vaciarse</t>
  </si>
  <si>
    <t>Flujo Agua Refrigeracion</t>
  </si>
  <si>
    <t>Temp inicial</t>
  </si>
  <si>
    <t>°C</t>
  </si>
  <si>
    <t>Temp. Final</t>
  </si>
  <si>
    <t>Perdida por refrigeracion</t>
  </si>
  <si>
    <t>Vol Total</t>
  </si>
  <si>
    <t>Temp. Casco</t>
  </si>
  <si>
    <t>Temp. Baño</t>
  </si>
  <si>
    <t>tm carga/hr</t>
  </si>
  <si>
    <t>tm carga total</t>
  </si>
  <si>
    <t>10% batch normal, 5% batch Fe y EHR</t>
  </si>
  <si>
    <t>D. Fe/Metal</t>
  </si>
  <si>
    <t>%Sn en Dross Fe</t>
  </si>
  <si>
    <t>Perd</t>
  </si>
  <si>
    <t>carbon cenizas</t>
  </si>
  <si>
    <t>CARBON *</t>
  </si>
  <si>
    <t>(*)</t>
  </si>
  <si>
    <t>No considera carbón perdido por tiro</t>
  </si>
  <si>
    <t>BUNKER</t>
  </si>
  <si>
    <t>P.M. ficticio</t>
  </si>
  <si>
    <t>Combust</t>
  </si>
  <si>
    <t>conversion</t>
  </si>
  <si>
    <t>Condiciones Iniciales del Combustible</t>
  </si>
  <si>
    <t>Fe/SiO2</t>
  </si>
  <si>
    <t>CaO/SiO2</t>
  </si>
  <si>
    <t>en pellets</t>
  </si>
  <si>
    <t>en faja</t>
  </si>
  <si>
    <t>CARBON*</t>
  </si>
  <si>
    <t>Fe/Sn</t>
  </si>
  <si>
    <t>CAMPAÑA</t>
  </si>
  <si>
    <t>MES</t>
  </si>
  <si>
    <t>gas</t>
  </si>
  <si>
    <t>P.C. Inf</t>
  </si>
  <si>
    <t>P.C. Sup</t>
  </si>
  <si>
    <t>moles O2</t>
  </si>
  <si>
    <t>molesO2/mol gn</t>
  </si>
  <si>
    <t>Metano</t>
  </si>
  <si>
    <t>Etano</t>
  </si>
  <si>
    <t>Propano</t>
  </si>
  <si>
    <t>Butano</t>
  </si>
  <si>
    <t>Pentano</t>
  </si>
  <si>
    <t>C5H12</t>
  </si>
  <si>
    <t>Hexano</t>
  </si>
  <si>
    <t>C6H14</t>
  </si>
  <si>
    <t>mol O2</t>
  </si>
  <si>
    <t>FF</t>
  </si>
  <si>
    <t>mol aire</t>
  </si>
  <si>
    <t>Kcal/Nm3</t>
  </si>
  <si>
    <t>% de calor y distr CO-CO2 según esteq falta</t>
  </si>
  <si>
    <t>DCS</t>
  </si>
  <si>
    <t>Error</t>
  </si>
  <si>
    <t>fl real</t>
  </si>
  <si>
    <t>est real</t>
  </si>
  <si>
    <t>REAL</t>
  </si>
  <si>
    <t>ERROR</t>
  </si>
  <si>
    <t>Gas Natural</t>
  </si>
  <si>
    <t>Fuel Factor</t>
  </si>
  <si>
    <t>Nm3/Nm3</t>
  </si>
  <si>
    <t>Aire Enriquecido</t>
  </si>
  <si>
    <t>ox total</t>
  </si>
  <si>
    <t>aire enr</t>
  </si>
  <si>
    <t>Real-DCS</t>
  </si>
  <si>
    <t>Gravimetrico</t>
  </si>
  <si>
    <t>Flotacion</t>
  </si>
  <si>
    <t>Cobre</t>
  </si>
  <si>
    <t>E. Marginal</t>
  </si>
  <si>
    <t>Gas Nat</t>
  </si>
  <si>
    <t>Esteq</t>
  </si>
  <si>
    <t xml:space="preserve">Carbon </t>
  </si>
  <si>
    <t>Cama 32</t>
  </si>
  <si>
    <t>kg</t>
  </si>
  <si>
    <t>Ceniza</t>
  </si>
  <si>
    <t>Carbon perdido por tiro en reducción</t>
  </si>
  <si>
    <t>Nivel de escoria</t>
  </si>
  <si>
    <t>Óxido de calcio</t>
  </si>
  <si>
    <t>Callanas</t>
  </si>
  <si>
    <t>Diametro inicial</t>
  </si>
  <si>
    <t>Factor Eficiencia CaO/Caliza</t>
  </si>
  <si>
    <t>ÓXIDO DE CALCIO</t>
  </si>
  <si>
    <t>Nivel Objetivo</t>
  </si>
  <si>
    <t xml:space="preserve"> </t>
  </si>
  <si>
    <t>L260814</t>
  </si>
  <si>
    <t>L260912</t>
  </si>
  <si>
    <t>L260951</t>
  </si>
  <si>
    <t>L260957</t>
  </si>
  <si>
    <t>L260969</t>
  </si>
  <si>
    <t>L260975</t>
  </si>
  <si>
    <t>L260986</t>
  </si>
  <si>
    <t>L260987</t>
  </si>
  <si>
    <t>L260989</t>
  </si>
  <si>
    <t>L260992</t>
  </si>
  <si>
    <t>L260993</t>
  </si>
  <si>
    <t>L260994</t>
  </si>
  <si>
    <t>L260998</t>
  </si>
  <si>
    <t>L261001</t>
  </si>
  <si>
    <t>L261002</t>
  </si>
  <si>
    <t>L261005</t>
  </si>
  <si>
    <t>L261072</t>
  </si>
  <si>
    <t>L261073</t>
  </si>
  <si>
    <t>L261074</t>
  </si>
  <si>
    <t>L261075</t>
  </si>
  <si>
    <t>L261077</t>
  </si>
  <si>
    <t>L261078</t>
  </si>
  <si>
    <t>L261079</t>
  </si>
  <si>
    <t>L261008</t>
  </si>
  <si>
    <t>L260925</t>
  </si>
  <si>
    <t>L260959</t>
  </si>
  <si>
    <t>L260976</t>
  </si>
  <si>
    <t>L261076</t>
  </si>
  <si>
    <t>L260984</t>
  </si>
  <si>
    <t>L265376</t>
  </si>
  <si>
    <t>L265378</t>
  </si>
  <si>
    <t>L265386</t>
  </si>
  <si>
    <t>L265387</t>
  </si>
  <si>
    <t>L265388</t>
  </si>
  <si>
    <t>L265389</t>
  </si>
  <si>
    <t>L265390</t>
  </si>
  <si>
    <t>L265393</t>
  </si>
  <si>
    <t>L265394</t>
  </si>
  <si>
    <t>L265397</t>
  </si>
  <si>
    <t>L265395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</si>
</sst>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7" formatCode="_(* #,##0.00_);_(* \(#,##0.00\);_(* &quot;-&quot;??_);_(@_)"/>
    <numFmt numFmtId="178" formatCode="_ * #,##0.00_ ;_ * \-#,##0.00_ ;_ * &quot;-&quot;??_ ;_ @_ "/>
    <numFmt numFmtId="179" formatCode="_-* #,##0.00\ _€_-;\-* #,##0.00\ _€_-;_-* &quot;-&quot;??\ _€_-;_-@_-"/>
    <numFmt numFmtId="182" formatCode="0.000"/>
    <numFmt numFmtId="183" formatCode="0.0000"/>
    <numFmt numFmtId="184" formatCode="0.0"/>
    <numFmt numFmtId="185" formatCode="_(* #,##0.000_);_(* \(#,##0.000\);_(* &quot;-&quot;??_);_(@_)"/>
    <numFmt numFmtId="186" formatCode="_(* #,##0.0000_);_(* \(#,##0.0000\);_(* &quot;-&quot;??_);_(@_)"/>
    <numFmt numFmtId="187" formatCode="_(* #,##0_);_(* \(#,##0\);_(* &quot;-&quot;??_);_(@_)"/>
    <numFmt numFmtId="188" formatCode="#00"/>
    <numFmt numFmtId="189" formatCode="\Q0000"/>
    <numFmt numFmtId="190" formatCode="_([$€-2]\ * #,##0.00_);_([$€-2]\ * \(#,##0.00\);_([$€-2]\ * &quot;-&quot;??_)"/>
    <numFmt numFmtId="191" formatCode="_(* #,##0.0_);_(* \(#,##0.0\);_(* &quot;-&quot;??_);_(@_)"/>
    <numFmt numFmtId="192" formatCode="#,##0.0"/>
    <numFmt numFmtId="193" formatCode="dd\-mmm\-yy_)"/>
    <numFmt numFmtId="194" formatCode="0.00_)"/>
    <numFmt numFmtId="195" formatCode="#,###\ &quot;ºC&quot;"/>
    <numFmt numFmtId="196" formatCode="0.0%"/>
    <numFmt numFmtId="197" formatCode="#,##0.000"/>
    <numFmt numFmtId="198" formatCode="#.0\ &quot;%FeO&quot;"/>
    <numFmt numFmtId="199" formatCode="_-* #,##0\ _€_-;\-* #,##0\ _€_-;_-* &quot;-&quot;??\ _€_-;_-@_-"/>
    <numFmt numFmtId="200" formatCode="_-* #,##0.0\ _€_-;\-* #,##0.0\ _€_-;_-* &quot;-&quot;??\ _€_-;_-@_-"/>
  </numFmts>
  <fonts count="104">
    <font>
      <sz val="10"/>
      <name val="Arial"/>
    </font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vertAlign val="subscript"/>
      <sz val="11"/>
      <name val="Arial"/>
      <family val="2"/>
    </font>
    <font>
      <b/>
      <sz val="11"/>
      <color indexed="63"/>
      <name val="Arial"/>
      <family val="2"/>
    </font>
    <font>
      <b/>
      <vertAlign val="subscript"/>
      <sz val="11"/>
      <color indexed="63"/>
      <name val="Arial"/>
      <family val="2"/>
    </font>
    <font>
      <sz val="10"/>
      <name val="Arial"/>
      <family val="2"/>
    </font>
    <font>
      <sz val="8"/>
      <name val="Arial"/>
      <family val="2"/>
    </font>
    <font>
      <sz val="20"/>
      <name val="Arial Black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9.5"/>
      <name val="Arial"/>
      <family val="2"/>
    </font>
    <font>
      <b/>
      <vertAlign val="subscript"/>
      <sz val="10"/>
      <name val="Arial"/>
      <family val="2"/>
    </font>
    <font>
      <b/>
      <sz val="16"/>
      <name val="Arial"/>
      <family val="2"/>
    </font>
    <font>
      <b/>
      <sz val="10"/>
      <color indexed="10"/>
      <name val="Arial"/>
      <family val="2"/>
    </font>
    <font>
      <sz val="11"/>
      <name val="Arial"/>
      <family val="2"/>
    </font>
    <font>
      <b/>
      <sz val="11"/>
      <color indexed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Tahoma"/>
      <family val="2"/>
    </font>
    <font>
      <b/>
      <sz val="10"/>
      <color indexed="12"/>
      <name val="Arial"/>
      <family val="2"/>
    </font>
    <font>
      <b/>
      <sz val="10"/>
      <color indexed="20"/>
      <name val="Arial"/>
      <family val="2"/>
    </font>
    <font>
      <sz val="10"/>
      <color indexed="10"/>
      <name val="Arial"/>
      <family val="2"/>
    </font>
    <font>
      <b/>
      <sz val="10"/>
      <color indexed="46"/>
      <name val="Arial"/>
      <family val="2"/>
    </font>
    <font>
      <b/>
      <u/>
      <sz val="13"/>
      <name val="Arial"/>
      <family val="2"/>
    </font>
    <font>
      <b/>
      <sz val="10"/>
      <color indexed="8"/>
      <name val="Arial"/>
      <family val="2"/>
    </font>
    <font>
      <sz val="10"/>
      <name val="Times New Roman"/>
      <family val="1"/>
    </font>
    <font>
      <sz val="12"/>
      <name val="Arial MT"/>
    </font>
    <font>
      <sz val="10"/>
      <color indexed="10"/>
      <name val="Arial"/>
      <family val="2"/>
    </font>
    <font>
      <b/>
      <sz val="15"/>
      <color indexed="10"/>
      <name val="Arial"/>
      <family val="2"/>
    </font>
    <font>
      <b/>
      <sz val="12"/>
      <name val="Times New Roman"/>
      <family val="1"/>
    </font>
    <font>
      <b/>
      <sz val="12"/>
      <color indexed="8"/>
      <name val="Times New Roman"/>
      <family val="1"/>
    </font>
    <font>
      <b/>
      <sz val="9"/>
      <color indexed="12"/>
      <name val="Arial"/>
      <family val="2"/>
    </font>
    <font>
      <b/>
      <sz val="9"/>
      <color indexed="10"/>
      <name val="Arial"/>
      <family val="2"/>
    </font>
    <font>
      <sz val="10"/>
      <color indexed="22"/>
      <name val="Arial"/>
      <family val="2"/>
    </font>
    <font>
      <sz val="8"/>
      <color indexed="10"/>
      <name val="Arial"/>
      <family val="2"/>
    </font>
    <font>
      <b/>
      <u/>
      <sz val="10"/>
      <color indexed="10"/>
      <name val="Arial"/>
      <family val="2"/>
    </font>
    <font>
      <b/>
      <sz val="10"/>
      <name val="Times New Roman"/>
      <family val="1"/>
    </font>
    <font>
      <b/>
      <sz val="17"/>
      <color indexed="9"/>
      <name val="Arial"/>
      <family val="2"/>
    </font>
    <font>
      <b/>
      <sz val="10"/>
      <color indexed="10"/>
      <name val="Times New Roman"/>
      <family val="1"/>
    </font>
    <font>
      <b/>
      <sz val="12"/>
      <name val="Arial MT"/>
    </font>
    <font>
      <u/>
      <sz val="12"/>
      <name val="Britannic Bold"/>
      <family val="2"/>
    </font>
    <font>
      <sz val="12"/>
      <name val="Britannic Bold"/>
      <family val="2"/>
    </font>
    <font>
      <sz val="8"/>
      <name val="Britannic Bold"/>
      <family val="2"/>
    </font>
    <font>
      <sz val="8"/>
      <name val="Arial MT"/>
      <family val="2"/>
    </font>
    <font>
      <sz val="10"/>
      <name val="Arial MT"/>
      <family val="2"/>
    </font>
    <font>
      <b/>
      <sz val="12"/>
      <color indexed="10"/>
      <name val="Arial"/>
      <family val="2"/>
    </font>
    <font>
      <sz val="9"/>
      <name val="Arial"/>
      <family val="2"/>
    </font>
    <font>
      <b/>
      <sz val="10"/>
      <color indexed="10"/>
      <name val="Times New Roman"/>
      <family val="1"/>
    </font>
    <font>
      <b/>
      <u/>
      <sz val="14"/>
      <name val="Arial"/>
      <family val="2"/>
    </font>
    <font>
      <b/>
      <sz val="14"/>
      <color indexed="10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b/>
      <sz val="10"/>
      <name val="Arial MT"/>
      <family val="2"/>
    </font>
    <font>
      <sz val="12"/>
      <name val="Times New Roman"/>
      <family val="1"/>
    </font>
    <font>
      <sz val="10"/>
      <color indexed="63"/>
      <name val="Arial"/>
      <family val="2"/>
    </font>
    <font>
      <sz val="9"/>
      <color indexed="10"/>
      <name val="Arial"/>
      <family val="2"/>
    </font>
    <font>
      <b/>
      <sz val="10"/>
      <color indexed="9"/>
      <name val="Arial"/>
      <family val="2"/>
    </font>
    <font>
      <b/>
      <sz val="10"/>
      <color indexed="63"/>
      <name val="Arial"/>
      <family val="2"/>
    </font>
    <font>
      <b/>
      <vertAlign val="subscript"/>
      <sz val="10"/>
      <color indexed="63"/>
      <name val="Arial"/>
      <family val="2"/>
    </font>
    <font>
      <b/>
      <sz val="11"/>
      <color indexed="8"/>
      <name val="Arial"/>
      <family val="2"/>
    </font>
    <font>
      <b/>
      <sz val="11"/>
      <color indexed="12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i/>
      <sz val="14"/>
      <name val="Arial"/>
      <family val="2"/>
    </font>
    <font>
      <sz val="10"/>
      <color indexed="41"/>
      <name val="Arial"/>
      <family val="2"/>
    </font>
    <font>
      <sz val="9.5"/>
      <color indexed="41"/>
      <name val="Arial"/>
      <family val="2"/>
    </font>
    <font>
      <sz val="10"/>
      <color indexed="12"/>
      <name val="Arial"/>
      <family val="2"/>
    </font>
    <font>
      <b/>
      <u/>
      <sz val="12"/>
      <name val="Arial"/>
      <family val="2"/>
    </font>
    <font>
      <sz val="9"/>
      <color indexed="8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color indexed="9"/>
      <name val="Arial MT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6"/>
      <color indexed="10"/>
      <name val="Arial"/>
      <family val="2"/>
    </font>
    <font>
      <b/>
      <sz val="10"/>
      <color indexed="9"/>
      <name val="Arial"/>
      <family val="2"/>
    </font>
    <font>
      <b/>
      <sz val="16"/>
      <color indexed="12"/>
      <name val="Arial"/>
      <family val="2"/>
    </font>
    <font>
      <b/>
      <vertAlign val="superscript"/>
      <sz val="12"/>
      <name val="Arial"/>
      <family val="2"/>
    </font>
    <font>
      <vertAlign val="superscript"/>
      <sz val="10"/>
      <name val="Arial"/>
      <family val="2"/>
    </font>
    <font>
      <b/>
      <sz val="12"/>
      <color indexed="63"/>
      <name val="Arial"/>
      <family val="2"/>
    </font>
    <font>
      <sz val="14"/>
      <name val="Arial"/>
      <family val="2"/>
    </font>
    <font>
      <b/>
      <sz val="9.5"/>
      <color indexed="10"/>
      <name val="Arial"/>
      <family val="2"/>
    </font>
    <font>
      <b/>
      <sz val="9"/>
      <color indexed="8"/>
      <name val="Arial"/>
      <family val="2"/>
    </font>
    <font>
      <u val="singleAccounting"/>
      <sz val="1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70C0"/>
      <name val="Arial"/>
      <family val="2"/>
    </font>
    <font>
      <sz val="11"/>
      <color theme="4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rgb="FF00B050"/>
      <name val="Arial"/>
      <family val="2"/>
    </font>
    <font>
      <sz val="10"/>
      <color rgb="FFC00000"/>
      <name val="Arial"/>
      <family val="2"/>
    </font>
    <font>
      <sz val="9"/>
      <color rgb="FF00B05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42"/>
      </right>
      <top style="thin">
        <color indexed="64"/>
      </top>
      <bottom/>
      <diagonal/>
    </border>
    <border>
      <left/>
      <right style="thin">
        <color indexed="42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42"/>
      </bottom>
      <diagonal/>
    </border>
    <border>
      <left style="thin">
        <color indexed="64"/>
      </left>
      <right style="thin">
        <color indexed="64"/>
      </right>
      <top style="thin">
        <color indexed="42"/>
      </top>
      <bottom style="thin">
        <color indexed="4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190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30" fillId="0" borderId="0"/>
    <xf numFmtId="0" fontId="29" fillId="0" borderId="0"/>
    <xf numFmtId="0" fontId="29" fillId="0" borderId="0"/>
    <xf numFmtId="9" fontId="1" fillId="0" borderId="0" applyFont="0" applyFill="0" applyBorder="0" applyAlignment="0" applyProtection="0"/>
  </cellStyleXfs>
  <cellXfs count="1461">
    <xf numFmtId="0" fontId="0" fillId="0" borderId="0" xfId="0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85" fontId="0" fillId="0" borderId="0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77" fontId="1" fillId="0" borderId="0" xfId="2" applyAlignment="1">
      <alignment vertical="center"/>
    </xf>
    <xf numFmtId="185" fontId="1" fillId="0" borderId="0" xfId="2" applyNumberFormat="1" applyAlignme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185" fontId="13" fillId="0" borderId="0" xfId="2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14" fillId="0" borderId="5" xfId="0" applyFont="1" applyFill="1" applyBorder="1" applyAlignment="1">
      <alignment horizontal="center" vertical="center" wrapText="1"/>
    </xf>
    <xf numFmtId="0" fontId="14" fillId="4" borderId="6" xfId="0" applyFont="1" applyFill="1" applyBorder="1" applyAlignment="1">
      <alignment horizontal="center" vertical="center" wrapText="1"/>
    </xf>
    <xf numFmtId="182" fontId="9" fillId="0" borderId="7" xfId="0" applyNumberFormat="1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left" vertical="center"/>
    </xf>
    <xf numFmtId="185" fontId="9" fillId="0" borderId="8" xfId="2" applyNumberFormat="1" applyFont="1" applyFill="1" applyBorder="1" applyAlignment="1">
      <alignment horizontal="center" vertical="center"/>
    </xf>
    <xf numFmtId="2" fontId="0" fillId="0" borderId="0" xfId="0" applyNumberFormat="1" applyBorder="1"/>
    <xf numFmtId="182" fontId="9" fillId="0" borderId="9" xfId="0" applyNumberFormat="1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left" vertical="center"/>
    </xf>
    <xf numFmtId="185" fontId="9" fillId="0" borderId="3" xfId="2" applyNumberFormat="1" applyFont="1" applyFill="1" applyBorder="1" applyAlignment="1">
      <alignment horizontal="center" vertical="center"/>
    </xf>
    <xf numFmtId="182" fontId="9" fillId="0" borderId="0" xfId="0" applyNumberFormat="1" applyFont="1" applyFill="1" applyBorder="1" applyAlignment="1">
      <alignment horizontal="center" vertical="center"/>
    </xf>
    <xf numFmtId="182" fontId="9" fillId="0" borderId="10" xfId="0" applyNumberFormat="1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left" vertical="center"/>
    </xf>
    <xf numFmtId="185" fontId="9" fillId="0" borderId="11" xfId="2" applyNumberFormat="1" applyFont="1" applyFill="1" applyBorder="1" applyAlignment="1">
      <alignment horizontal="center" vertical="center"/>
    </xf>
    <xf numFmtId="182" fontId="9" fillId="0" borderId="12" xfId="0" applyNumberFormat="1" applyFont="1" applyFill="1" applyBorder="1" applyAlignment="1">
      <alignment horizontal="center" vertical="center"/>
    </xf>
    <xf numFmtId="22" fontId="0" fillId="0" borderId="0" xfId="0" applyNumberFormat="1" applyBorder="1"/>
    <xf numFmtId="182" fontId="9" fillId="0" borderId="13" xfId="0" applyNumberFormat="1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left" vertical="center"/>
    </xf>
    <xf numFmtId="185" fontId="9" fillId="0" borderId="14" xfId="2" applyNumberFormat="1" applyFont="1" applyFill="1" applyBorder="1" applyAlignment="1">
      <alignment horizontal="center" vertical="center"/>
    </xf>
    <xf numFmtId="46" fontId="1" fillId="0" borderId="0" xfId="2" applyNumberFormat="1" applyAlignment="1">
      <alignment vertical="center"/>
    </xf>
    <xf numFmtId="182" fontId="0" fillId="0" borderId="0" xfId="0" applyNumberFormat="1" applyAlignment="1">
      <alignment vertical="center"/>
    </xf>
    <xf numFmtId="182" fontId="9" fillId="0" borderId="15" xfId="0" applyNumberFormat="1" applyFont="1" applyFill="1" applyBorder="1" applyAlignment="1">
      <alignment horizontal="center" vertical="center"/>
    </xf>
    <xf numFmtId="185" fontId="9" fillId="0" borderId="13" xfId="2" applyNumberFormat="1" applyFont="1" applyFill="1" applyBorder="1" applyAlignment="1">
      <alignment horizontal="center" vertical="center"/>
    </xf>
    <xf numFmtId="185" fontId="9" fillId="0" borderId="9" xfId="2" applyNumberFormat="1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85" fontId="3" fillId="5" borderId="11" xfId="2" applyNumberFormat="1" applyFont="1" applyFill="1" applyBorder="1" applyAlignment="1">
      <alignment horizontal="center" vertical="center"/>
    </xf>
    <xf numFmtId="182" fontId="9" fillId="0" borderId="16" xfId="0" quotePrefix="1" applyNumberFormat="1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left" vertical="center"/>
    </xf>
    <xf numFmtId="185" fontId="3" fillId="5" borderId="17" xfId="2" applyNumberFormat="1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182" fontId="3" fillId="0" borderId="19" xfId="0" applyNumberFormat="1" applyFont="1" applyBorder="1" applyAlignment="1">
      <alignment horizontal="center" vertical="center"/>
    </xf>
    <xf numFmtId="182" fontId="3" fillId="0" borderId="6" xfId="0" applyNumberFormat="1" applyFont="1" applyBorder="1" applyAlignment="1">
      <alignment horizontal="center" vertical="center"/>
    </xf>
    <xf numFmtId="182" fontId="3" fillId="3" borderId="20" xfId="0" applyNumberFormat="1" applyFont="1" applyFill="1" applyBorder="1" applyAlignment="1">
      <alignment horizontal="center" vertical="center"/>
    </xf>
    <xf numFmtId="182" fontId="3" fillId="3" borderId="17" xfId="0" applyNumberFormat="1" applyFont="1" applyFill="1" applyBorder="1" applyAlignment="1">
      <alignment horizontal="center" vertical="center"/>
    </xf>
    <xf numFmtId="182" fontId="3" fillId="3" borderId="6" xfId="0" applyNumberFormat="1" applyFont="1" applyFill="1" applyBorder="1" applyAlignment="1">
      <alignment horizontal="center" vertical="center"/>
    </xf>
    <xf numFmtId="182" fontId="3" fillId="5" borderId="20" xfId="0" applyNumberFormat="1" applyFont="1" applyFill="1" applyBorder="1" applyAlignment="1">
      <alignment horizontal="center" vertical="center"/>
    </xf>
    <xf numFmtId="182" fontId="3" fillId="5" borderId="17" xfId="0" applyNumberFormat="1" applyFont="1" applyFill="1" applyBorder="1" applyAlignment="1">
      <alignment horizontal="center" vertical="center"/>
    </xf>
    <xf numFmtId="182" fontId="3" fillId="5" borderId="6" xfId="0" applyNumberFormat="1" applyFont="1" applyFill="1" applyBorder="1" applyAlignment="1">
      <alignment horizontal="center" vertical="center"/>
    </xf>
    <xf numFmtId="182" fontId="3" fillId="6" borderId="21" xfId="0" applyNumberFormat="1" applyFont="1" applyFill="1" applyBorder="1" applyAlignment="1">
      <alignment horizontal="center" vertical="center"/>
    </xf>
    <xf numFmtId="182" fontId="3" fillId="7" borderId="22" xfId="0" applyNumberFormat="1" applyFont="1" applyFill="1" applyBorder="1" applyAlignment="1">
      <alignment horizontal="center" vertical="center"/>
    </xf>
    <xf numFmtId="182" fontId="3" fillId="5" borderId="21" xfId="0" applyNumberFormat="1" applyFont="1" applyFill="1" applyBorder="1" applyAlignment="1">
      <alignment horizontal="center" vertical="center"/>
    </xf>
    <xf numFmtId="2" fontId="16" fillId="0" borderId="0" xfId="0" applyNumberFormat="1" applyFont="1" applyFill="1" applyBorder="1" applyAlignment="1">
      <alignment horizontal="center" vertical="center"/>
    </xf>
    <xf numFmtId="1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vertical="center"/>
    </xf>
    <xf numFmtId="0" fontId="3" fillId="7" borderId="27" xfId="0" applyFont="1" applyFill="1" applyBorder="1" applyAlignment="1">
      <alignment horizontal="center" vertical="center"/>
    </xf>
    <xf numFmtId="0" fontId="9" fillId="0" borderId="10" xfId="0" applyFont="1" applyBorder="1" applyAlignment="1">
      <alignment horizontal="left" vertical="center"/>
    </xf>
    <xf numFmtId="0" fontId="2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177" fontId="4" fillId="0" borderId="30" xfId="2" applyFont="1" applyBorder="1" applyAlignment="1">
      <alignment vertical="center"/>
    </xf>
    <xf numFmtId="177" fontId="4" fillId="2" borderId="11" xfId="2" applyFont="1" applyFill="1" applyBorder="1" applyAlignment="1">
      <alignment vertical="center"/>
    </xf>
    <xf numFmtId="177" fontId="4" fillId="2" borderId="31" xfId="2" applyFont="1" applyFill="1" applyBorder="1" applyAlignment="1">
      <alignment vertical="center"/>
    </xf>
    <xf numFmtId="177" fontId="4" fillId="2" borderId="32" xfId="2" applyFont="1" applyFill="1" applyBorder="1" applyAlignment="1">
      <alignment vertical="center"/>
    </xf>
    <xf numFmtId="0" fontId="9" fillId="0" borderId="33" xfId="0" applyFont="1" applyBorder="1" applyAlignment="1">
      <alignment horizontal="left" vertical="center"/>
    </xf>
    <xf numFmtId="0" fontId="2" fillId="0" borderId="34" xfId="0" applyFont="1" applyBorder="1" applyAlignment="1">
      <alignment horizontal="center" vertical="center"/>
    </xf>
    <xf numFmtId="49" fontId="4" fillId="0" borderId="35" xfId="0" applyNumberFormat="1" applyFont="1" applyBorder="1" applyAlignment="1">
      <alignment horizontal="center" vertical="center"/>
    </xf>
    <xf numFmtId="177" fontId="4" fillId="0" borderId="36" xfId="2" applyFont="1" applyBorder="1" applyAlignment="1">
      <alignment vertical="center"/>
    </xf>
    <xf numFmtId="177" fontId="4" fillId="2" borderId="37" xfId="2" applyFont="1" applyFill="1" applyBorder="1" applyAlignment="1">
      <alignment vertical="center"/>
    </xf>
    <xf numFmtId="177" fontId="4" fillId="0" borderId="37" xfId="2" applyFont="1" applyBorder="1" applyAlignment="1">
      <alignment vertical="center"/>
    </xf>
    <xf numFmtId="177" fontId="4" fillId="2" borderId="38" xfId="2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9" fillId="0" borderId="39" xfId="0" applyFont="1" applyBorder="1" applyAlignment="1">
      <alignment horizontal="left" vertical="center"/>
    </xf>
    <xf numFmtId="0" fontId="2" fillId="0" borderId="40" xfId="0" applyFont="1" applyBorder="1" applyAlignment="1">
      <alignment horizontal="center" vertical="center"/>
    </xf>
    <xf numFmtId="49" fontId="4" fillId="0" borderId="41" xfId="0" applyNumberFormat="1" applyFont="1" applyBorder="1" applyAlignment="1">
      <alignment horizontal="center" vertical="center"/>
    </xf>
    <xf numFmtId="177" fontId="4" fillId="0" borderId="42" xfId="2" applyFont="1" applyBorder="1" applyAlignment="1">
      <alignment vertical="center"/>
    </xf>
    <xf numFmtId="177" fontId="4" fillId="2" borderId="17" xfId="2" applyFont="1" applyFill="1" applyBorder="1" applyAlignment="1">
      <alignment vertical="center"/>
    </xf>
    <xf numFmtId="177" fontId="4" fillId="4" borderId="43" xfId="2" applyFont="1" applyFill="1" applyBorder="1" applyAlignment="1">
      <alignment vertical="center"/>
    </xf>
    <xf numFmtId="185" fontId="2" fillId="0" borderId="0" xfId="2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177" fontId="4" fillId="0" borderId="42" xfId="0" applyNumberFormat="1" applyFont="1" applyBorder="1" applyAlignment="1">
      <alignment vertical="center"/>
    </xf>
    <xf numFmtId="177" fontId="4" fillId="0" borderId="17" xfId="0" applyNumberFormat="1" applyFont="1" applyBorder="1" applyAlignment="1">
      <alignment vertical="center"/>
    </xf>
    <xf numFmtId="177" fontId="4" fillId="0" borderId="6" xfId="0" applyNumberFormat="1" applyFont="1" applyBorder="1" applyAlignment="1">
      <alignment vertical="center"/>
    </xf>
    <xf numFmtId="0" fontId="17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185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0" fontId="2" fillId="0" borderId="0" xfId="0" applyFont="1" applyAlignment="1">
      <alignment horizontal="left" vertical="center"/>
    </xf>
    <xf numFmtId="9" fontId="1" fillId="0" borderId="0" xfId="6" applyAlignment="1">
      <alignment vertical="center"/>
    </xf>
    <xf numFmtId="0" fontId="0" fillId="0" borderId="0" xfId="0" applyBorder="1" applyAlignment="1">
      <alignment vertical="center"/>
    </xf>
    <xf numFmtId="182" fontId="0" fillId="0" borderId="0" xfId="0" applyNumberFormat="1" applyBorder="1" applyAlignment="1">
      <alignment vertical="center"/>
    </xf>
    <xf numFmtId="0" fontId="3" fillId="0" borderId="0" xfId="0" applyFont="1" applyAlignment="1">
      <alignment horizontal="left" vertical="center"/>
    </xf>
    <xf numFmtId="177" fontId="3" fillId="0" borderId="0" xfId="2" applyFont="1" applyAlignment="1">
      <alignment horizontal="left" vertical="center"/>
    </xf>
    <xf numFmtId="0" fontId="0" fillId="0" borderId="3" xfId="0" applyBorder="1"/>
    <xf numFmtId="0" fontId="0" fillId="2" borderId="44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0" borderId="46" xfId="0" applyBorder="1"/>
    <xf numFmtId="0" fontId="3" fillId="0" borderId="21" xfId="0" applyFont="1" applyBorder="1" applyAlignment="1">
      <alignment horizontal="center"/>
    </xf>
    <xf numFmtId="0" fontId="3" fillId="0" borderId="47" xfId="0" applyFont="1" applyBorder="1" applyAlignment="1">
      <alignment horizontal="center"/>
    </xf>
    <xf numFmtId="0" fontId="3" fillId="0" borderId="48" xfId="0" applyFont="1" applyBorder="1" applyAlignment="1">
      <alignment horizontal="center"/>
    </xf>
    <xf numFmtId="0" fontId="3" fillId="0" borderId="49" xfId="0" applyFont="1" applyBorder="1" applyAlignment="1">
      <alignment horizontal="center"/>
    </xf>
    <xf numFmtId="0" fontId="5" fillId="0" borderId="0" xfId="0" applyFont="1"/>
    <xf numFmtId="2" fontId="5" fillId="5" borderId="21" xfId="0" applyNumberFormat="1" applyFont="1" applyFill="1" applyBorder="1" applyAlignment="1">
      <alignment horizontal="center"/>
    </xf>
    <xf numFmtId="2" fontId="5" fillId="5" borderId="20" xfId="0" applyNumberFormat="1" applyFont="1" applyFill="1" applyBorder="1" applyAlignment="1">
      <alignment horizontal="center"/>
    </xf>
    <xf numFmtId="2" fontId="5" fillId="5" borderId="22" xfId="0" applyNumberFormat="1" applyFont="1" applyFill="1" applyBorder="1" applyAlignment="1">
      <alignment horizontal="center"/>
    </xf>
    <xf numFmtId="182" fontId="5" fillId="5" borderId="22" xfId="0" applyNumberFormat="1" applyFont="1" applyFill="1" applyBorder="1" applyAlignment="1">
      <alignment horizontal="center"/>
    </xf>
    <xf numFmtId="2" fontId="5" fillId="5" borderId="6" xfId="0" applyNumberFormat="1" applyFont="1" applyFill="1" applyBorder="1" applyAlignment="1">
      <alignment horizontal="center"/>
    </xf>
    <xf numFmtId="0" fontId="18" fillId="6" borderId="37" xfId="0" applyFont="1" applyFill="1" applyBorder="1" applyAlignment="1">
      <alignment vertical="center" textRotation="45" wrapText="1"/>
    </xf>
    <xf numFmtId="0" fontId="3" fillId="6" borderId="37" xfId="0" applyFont="1" applyFill="1" applyBorder="1" applyAlignment="1">
      <alignment horizontal="center" vertical="center" wrapText="1"/>
    </xf>
    <xf numFmtId="0" fontId="3" fillId="6" borderId="50" xfId="0" applyFont="1" applyFill="1" applyBorder="1" applyAlignment="1">
      <alignment horizontal="center" vertical="center" wrapText="1"/>
    </xf>
    <xf numFmtId="0" fontId="3" fillId="6" borderId="51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0" borderId="52" xfId="0" applyFont="1" applyFill="1" applyBorder="1" applyAlignment="1">
      <alignment horizontal="left" vertical="center" wrapText="1"/>
    </xf>
    <xf numFmtId="0" fontId="3" fillId="0" borderId="53" xfId="0" applyFont="1" applyFill="1" applyBorder="1" applyAlignment="1">
      <alignment horizontal="left" vertical="center" wrapText="1"/>
    </xf>
    <xf numFmtId="0" fontId="3" fillId="0" borderId="11" xfId="0" applyFont="1" applyFill="1" applyBorder="1" applyAlignment="1">
      <alignment horizontal="left" vertical="center" wrapText="1"/>
    </xf>
    <xf numFmtId="0" fontId="19" fillId="0" borderId="0" xfId="0" applyFont="1"/>
    <xf numFmtId="2" fontId="3" fillId="0" borderId="54" xfId="0" applyNumberFormat="1" applyFont="1" applyFill="1" applyBorder="1" applyAlignment="1">
      <alignment horizontal="center"/>
    </xf>
    <xf numFmtId="2" fontId="3" fillId="0" borderId="15" xfId="0" applyNumberFormat="1" applyFont="1" applyFill="1" applyBorder="1" applyAlignment="1">
      <alignment horizontal="center"/>
    </xf>
    <xf numFmtId="2" fontId="3" fillId="0" borderId="13" xfId="0" applyNumberFormat="1" applyFont="1" applyFill="1" applyBorder="1" applyAlignment="1">
      <alignment horizontal="center"/>
    </xf>
    <xf numFmtId="2" fontId="3" fillId="0" borderId="55" xfId="0" applyNumberFormat="1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2" fontId="3" fillId="0" borderId="9" xfId="0" applyNumberFormat="1" applyFont="1" applyFill="1" applyBorder="1" applyAlignment="1">
      <alignment horizontal="center"/>
    </xf>
    <xf numFmtId="2" fontId="3" fillId="0" borderId="28" xfId="0" applyNumberFormat="1" applyFont="1" applyFill="1" applyBorder="1" applyAlignment="1">
      <alignment horizontal="center"/>
    </xf>
    <xf numFmtId="2" fontId="3" fillId="0" borderId="12" xfId="0" applyNumberFormat="1" applyFont="1" applyFill="1" applyBorder="1" applyAlignment="1">
      <alignment horizontal="center"/>
    </xf>
    <xf numFmtId="2" fontId="3" fillId="0" borderId="10" xfId="0" applyNumberFormat="1" applyFont="1" applyFill="1" applyBorder="1" applyAlignment="1">
      <alignment horizontal="center"/>
    </xf>
    <xf numFmtId="184" fontId="21" fillId="0" borderId="14" xfId="0" applyNumberFormat="1" applyFont="1" applyFill="1" applyBorder="1" applyAlignment="1">
      <alignment horizontal="center"/>
    </xf>
    <xf numFmtId="184" fontId="21" fillId="0" borderId="3" xfId="0" applyNumberFormat="1" applyFont="1" applyFill="1" applyBorder="1" applyAlignment="1">
      <alignment horizontal="center"/>
    </xf>
    <xf numFmtId="0" fontId="0" fillId="0" borderId="37" xfId="0" applyBorder="1"/>
    <xf numFmtId="0" fontId="0" fillId="0" borderId="55" xfId="0" applyBorder="1"/>
    <xf numFmtId="0" fontId="0" fillId="0" borderId="28" xfId="0" applyBorder="1"/>
    <xf numFmtId="184" fontId="0" fillId="0" borderId="9" xfId="0" applyNumberFormat="1" applyBorder="1"/>
    <xf numFmtId="184" fontId="0" fillId="0" borderId="10" xfId="0" applyNumberFormat="1" applyBorder="1"/>
    <xf numFmtId="0" fontId="3" fillId="0" borderId="55" xfId="0" applyFont="1" applyBorder="1"/>
    <xf numFmtId="183" fontId="3" fillId="0" borderId="0" xfId="0" applyNumberFormat="1" applyFont="1" applyBorder="1"/>
    <xf numFmtId="0" fontId="3" fillId="0" borderId="0" xfId="0" applyFont="1" applyBorder="1"/>
    <xf numFmtId="183" fontId="3" fillId="0" borderId="9" xfId="0" applyNumberFormat="1" applyFont="1" applyBorder="1"/>
    <xf numFmtId="183" fontId="3" fillId="0" borderId="55" xfId="0" applyNumberFormat="1" applyFont="1" applyBorder="1"/>
    <xf numFmtId="0" fontId="3" fillId="0" borderId="28" xfId="0" applyFont="1" applyBorder="1"/>
    <xf numFmtId="0" fontId="3" fillId="0" borderId="12" xfId="0" applyFont="1" applyBorder="1"/>
    <xf numFmtId="183" fontId="3" fillId="0" borderId="12" xfId="0" applyNumberFormat="1" applyFont="1" applyBorder="1"/>
    <xf numFmtId="183" fontId="3" fillId="0" borderId="10" xfId="0" applyNumberFormat="1" applyFont="1" applyBorder="1"/>
    <xf numFmtId="0" fontId="0" fillId="6" borderId="37" xfId="0" applyFill="1" applyBorder="1"/>
    <xf numFmtId="0" fontId="3" fillId="6" borderId="56" xfId="0" applyFont="1" applyFill="1" applyBorder="1" applyAlignment="1">
      <alignment horizontal="center"/>
    </xf>
    <xf numFmtId="0" fontId="3" fillId="6" borderId="3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0" fillId="0" borderId="54" xfId="0" applyBorder="1"/>
    <xf numFmtId="0" fontId="0" fillId="0" borderId="5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8" xfId="0" applyBorder="1" applyAlignment="1">
      <alignment horizontal="center"/>
    </xf>
    <xf numFmtId="2" fontId="3" fillId="0" borderId="34" xfId="0" applyNumberFormat="1" applyFont="1" applyBorder="1" applyAlignment="1">
      <alignment horizontal="center"/>
    </xf>
    <xf numFmtId="2" fontId="3" fillId="0" borderId="37" xfId="0" applyNumberFormat="1" applyFont="1" applyBorder="1" applyAlignment="1">
      <alignment horizontal="center"/>
    </xf>
    <xf numFmtId="0" fontId="2" fillId="0" borderId="0" xfId="0" applyFont="1"/>
    <xf numFmtId="0" fontId="0" fillId="0" borderId="5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Border="1" applyAlignment="1">
      <alignment horizontal="center"/>
    </xf>
    <xf numFmtId="183" fontId="3" fillId="0" borderId="56" xfId="0" applyNumberFormat="1" applyFont="1" applyBorder="1" applyAlignment="1">
      <alignment horizontal="center"/>
    </xf>
    <xf numFmtId="183" fontId="3" fillId="2" borderId="56" xfId="0" applyNumberFormat="1" applyFont="1" applyFill="1" applyBorder="1" applyAlignment="1">
      <alignment horizontal="center"/>
    </xf>
    <xf numFmtId="183" fontId="3" fillId="0" borderId="33" xfId="0" applyNumberFormat="1" applyFont="1" applyBorder="1" applyAlignment="1">
      <alignment horizontal="center"/>
    </xf>
    <xf numFmtId="0" fontId="0" fillId="2" borderId="34" xfId="0" applyFill="1" applyBorder="1"/>
    <xf numFmtId="0" fontId="0" fillId="2" borderId="56" xfId="0" applyFill="1" applyBorder="1"/>
    <xf numFmtId="0" fontId="0" fillId="2" borderId="33" xfId="0" applyFill="1" applyBorder="1"/>
    <xf numFmtId="184" fontId="0" fillId="0" borderId="54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13" xfId="0" applyNumberFormat="1" applyBorder="1"/>
    <xf numFmtId="2" fontId="3" fillId="0" borderId="56" xfId="0" applyNumberFormat="1" applyFont="1" applyBorder="1" applyAlignment="1">
      <alignment horizontal="center"/>
    </xf>
    <xf numFmtId="0" fontId="0" fillId="0" borderId="3" xfId="0" applyFill="1" applyBorder="1"/>
    <xf numFmtId="0" fontId="0" fillId="0" borderId="55" xfId="0" applyFill="1" applyBorder="1"/>
    <xf numFmtId="0" fontId="0" fillId="0" borderId="0" xfId="0" applyAlignment="1">
      <alignment horizontal="left"/>
    </xf>
    <xf numFmtId="0" fontId="0" fillId="0" borderId="10" xfId="0" applyBorder="1" applyAlignment="1">
      <alignment horizontal="center"/>
    </xf>
    <xf numFmtId="0" fontId="0" fillId="0" borderId="28" xfId="0" applyFill="1" applyBorder="1"/>
    <xf numFmtId="0" fontId="3" fillId="0" borderId="11" xfId="0" applyFont="1" applyBorder="1"/>
    <xf numFmtId="0" fontId="0" fillId="0" borderId="15" xfId="0" applyBorder="1"/>
    <xf numFmtId="182" fontId="0" fillId="0" borderId="0" xfId="0" applyNumberFormat="1" applyBorder="1" applyAlignment="1">
      <alignment horizontal="center"/>
    </xf>
    <xf numFmtId="182" fontId="0" fillId="0" borderId="9" xfId="0" applyNumberFormat="1" applyBorder="1" applyAlignment="1">
      <alignment horizontal="center"/>
    </xf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0" fillId="0" borderId="10" xfId="0" applyBorder="1"/>
    <xf numFmtId="0" fontId="0" fillId="0" borderId="12" xfId="0" applyBorder="1" applyAlignment="1">
      <alignment horizontal="center"/>
    </xf>
    <xf numFmtId="0" fontId="3" fillId="0" borderId="3" xfId="0" applyFont="1" applyBorder="1"/>
    <xf numFmtId="0" fontId="3" fillId="0" borderId="5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0" xfId="0" applyFont="1"/>
    <xf numFmtId="0" fontId="3" fillId="6" borderId="55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0" borderId="54" xfId="0" applyFont="1" applyBorder="1"/>
    <xf numFmtId="183" fontId="3" fillId="0" borderId="15" xfId="0" applyNumberFormat="1" applyFont="1" applyBorder="1"/>
    <xf numFmtId="0" fontId="3" fillId="0" borderId="15" xfId="0" applyFont="1" applyBorder="1"/>
    <xf numFmtId="183" fontId="3" fillId="0" borderId="13" xfId="0" applyNumberFormat="1" applyFont="1" applyBorder="1"/>
    <xf numFmtId="186" fontId="3" fillId="0" borderId="13" xfId="2" applyNumberFormat="1" applyFont="1" applyBorder="1"/>
    <xf numFmtId="186" fontId="3" fillId="0" borderId="9" xfId="2" applyNumberFormat="1" applyFont="1" applyBorder="1"/>
    <xf numFmtId="186" fontId="3" fillId="0" borderId="10" xfId="2" applyNumberFormat="1" applyFont="1" applyBorder="1"/>
    <xf numFmtId="2" fontId="0" fillId="0" borderId="0" xfId="0" applyNumberFormat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13" xfId="0" applyBorder="1"/>
    <xf numFmtId="0" fontId="3" fillId="0" borderId="37" xfId="0" applyFont="1" applyBorder="1" applyAlignment="1">
      <alignment horizontal="center"/>
    </xf>
    <xf numFmtId="0" fontId="3" fillId="0" borderId="37" xfId="0" applyFont="1" applyFill="1" applyBorder="1" applyAlignment="1">
      <alignment horizontal="center"/>
    </xf>
    <xf numFmtId="0" fontId="0" fillId="0" borderId="54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quotePrefix="1" applyAlignment="1">
      <alignment horizontal="center"/>
    </xf>
    <xf numFmtId="2" fontId="3" fillId="0" borderId="0" xfId="0" applyNumberFormat="1" applyFont="1" applyAlignment="1">
      <alignment horizontal="center"/>
    </xf>
    <xf numFmtId="2" fontId="0" fillId="0" borderId="0" xfId="0" applyNumberFormat="1"/>
    <xf numFmtId="0" fontId="3" fillId="0" borderId="34" xfId="0" applyFont="1" applyBorder="1" applyAlignment="1">
      <alignment horizontal="center"/>
    </xf>
    <xf numFmtId="0" fontId="3" fillId="0" borderId="56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2" fontId="3" fillId="0" borderId="0" xfId="0" applyNumberFormat="1" applyFont="1"/>
    <xf numFmtId="0" fontId="3" fillId="0" borderId="0" xfId="0" applyFont="1" applyFill="1" applyBorder="1" applyAlignment="1">
      <alignment horizontal="center"/>
    </xf>
    <xf numFmtId="2" fontId="3" fillId="0" borderId="28" xfId="0" applyNumberFormat="1" applyFont="1" applyBorder="1" applyAlignment="1">
      <alignment horizontal="center"/>
    </xf>
    <xf numFmtId="2" fontId="3" fillId="0" borderId="12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0" fontId="21" fillId="0" borderId="0" xfId="0" applyFont="1"/>
    <xf numFmtId="0" fontId="3" fillId="0" borderId="0" xfId="0" applyFont="1" applyAlignment="1">
      <alignment horizontal="center"/>
    </xf>
    <xf numFmtId="177" fontId="0" fillId="0" borderId="0" xfId="0" applyNumberFormat="1"/>
    <xf numFmtId="184" fontId="21" fillId="0" borderId="3" xfId="0" applyNumberFormat="1" applyFont="1" applyBorder="1" applyAlignment="1">
      <alignment horizontal="center"/>
    </xf>
    <xf numFmtId="0" fontId="3" fillId="6" borderId="0" xfId="0" applyFont="1" applyFill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37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3" fillId="0" borderId="37" xfId="0" applyFont="1" applyBorder="1"/>
    <xf numFmtId="182" fontId="0" fillId="0" borderId="56" xfId="0" applyNumberFormat="1" applyBorder="1" applyAlignment="1">
      <alignment horizontal="center"/>
    </xf>
    <xf numFmtId="182" fontId="3" fillId="0" borderId="37" xfId="0" applyNumberFormat="1" applyFont="1" applyBorder="1" applyAlignment="1">
      <alignment horizontal="center"/>
    </xf>
    <xf numFmtId="0" fontId="0" fillId="0" borderId="55" xfId="0" applyFill="1" applyBorder="1" applyAlignment="1">
      <alignment horizontal="center"/>
    </xf>
    <xf numFmtId="182" fontId="3" fillId="0" borderId="9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34" xfId="0" applyNumberFormat="1" applyBorder="1" applyAlignment="1">
      <alignment horizontal="center"/>
    </xf>
    <xf numFmtId="182" fontId="0" fillId="0" borderId="34" xfId="0" applyNumberFormat="1" applyBorder="1" applyAlignment="1">
      <alignment horizontal="center"/>
    </xf>
    <xf numFmtId="182" fontId="0" fillId="0" borderId="55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3" xfId="0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25" fillId="0" borderId="0" xfId="0" applyFont="1" applyAlignment="1">
      <alignment horizontal="center"/>
    </xf>
    <xf numFmtId="182" fontId="0" fillId="0" borderId="0" xfId="0" applyNumberFormat="1"/>
    <xf numFmtId="183" fontId="0" fillId="0" borderId="9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17" fillId="0" borderId="3" xfId="0" applyFont="1" applyBorder="1"/>
    <xf numFmtId="182" fontId="0" fillId="0" borderId="0" xfId="0" applyNumberFormat="1" applyAlignment="1">
      <alignment horizontal="center"/>
    </xf>
    <xf numFmtId="184" fontId="0" fillId="0" borderId="0" xfId="0" applyNumberFormat="1" applyBorder="1" applyAlignment="1">
      <alignment horizontal="center"/>
    </xf>
    <xf numFmtId="184" fontId="0" fillId="0" borderId="9" xfId="0" applyNumberFormat="1" applyBorder="1" applyAlignment="1">
      <alignment horizontal="center"/>
    </xf>
    <xf numFmtId="184" fontId="0" fillId="0" borderId="56" xfId="0" applyNumberFormat="1" applyBorder="1" applyAlignment="1">
      <alignment horizontal="center"/>
    </xf>
    <xf numFmtId="184" fontId="0" fillId="0" borderId="33" xfId="0" applyNumberFormat="1" applyBorder="1" applyAlignment="1">
      <alignment horizontal="center"/>
    </xf>
    <xf numFmtId="2" fontId="0" fillId="0" borderId="54" xfId="0" applyNumberFormat="1" applyBorder="1" applyAlignment="1">
      <alignment horizontal="center"/>
    </xf>
    <xf numFmtId="2" fontId="0" fillId="0" borderId="55" xfId="0" applyNumberFormat="1" applyBorder="1" applyAlignment="1">
      <alignment horizontal="center"/>
    </xf>
    <xf numFmtId="184" fontId="0" fillId="0" borderId="15" xfId="0" applyNumberFormat="1" applyBorder="1" applyAlignment="1">
      <alignment horizontal="center"/>
    </xf>
    <xf numFmtId="184" fontId="0" fillId="0" borderId="13" xfId="0" applyNumberFormat="1" applyBorder="1" applyAlignment="1">
      <alignment horizontal="center"/>
    </xf>
    <xf numFmtId="0" fontId="0" fillId="0" borderId="11" xfId="0" applyBorder="1"/>
    <xf numFmtId="0" fontId="3" fillId="0" borderId="3" xfId="0" applyFont="1" applyFill="1" applyBorder="1"/>
    <xf numFmtId="184" fontId="0" fillId="0" borderId="0" xfId="0" applyNumberFormat="1" applyAlignment="1">
      <alignment horizontal="center"/>
    </xf>
    <xf numFmtId="0" fontId="25" fillId="0" borderId="0" xfId="0" quotePrefix="1" applyFont="1" applyAlignment="1">
      <alignment horizontal="center"/>
    </xf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0" fontId="9" fillId="0" borderId="0" xfId="0" applyFont="1"/>
    <xf numFmtId="184" fontId="0" fillId="0" borderId="0" xfId="0" applyNumberFormat="1"/>
    <xf numFmtId="184" fontId="0" fillId="0" borderId="10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2" fontId="0" fillId="0" borderId="11" xfId="0" applyNumberFormat="1" applyBorder="1"/>
    <xf numFmtId="2" fontId="0" fillId="0" borderId="28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13" fillId="0" borderId="0" xfId="0" applyFont="1"/>
    <xf numFmtId="0" fontId="3" fillId="0" borderId="15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3" fillId="0" borderId="3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2" fontId="3" fillId="0" borderId="14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184" fontId="3" fillId="0" borderId="56" xfId="0" applyNumberFormat="1" applyFont="1" applyBorder="1" applyAlignment="1">
      <alignment horizontal="center"/>
    </xf>
    <xf numFmtId="2" fontId="3" fillId="0" borderId="54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184" fontId="0" fillId="0" borderId="3" xfId="0" applyNumberFormat="1" applyBorder="1" applyAlignment="1">
      <alignment horizontal="center"/>
    </xf>
    <xf numFmtId="184" fontId="0" fillId="0" borderId="11" xfId="0" applyNumberFormat="1" applyBorder="1" applyAlignment="1">
      <alignment horizontal="center"/>
    </xf>
    <xf numFmtId="184" fontId="9" fillId="0" borderId="15" xfId="0" applyNumberFormat="1" applyFont="1" applyBorder="1" applyAlignment="1">
      <alignment horizontal="center"/>
    </xf>
    <xf numFmtId="184" fontId="9" fillId="0" borderId="12" xfId="0" applyNumberFormat="1" applyFont="1" applyBorder="1" applyAlignment="1">
      <alignment horizontal="center"/>
    </xf>
    <xf numFmtId="184" fontId="3" fillId="0" borderId="13" xfId="0" applyNumberFormat="1" applyFont="1" applyBorder="1" applyAlignment="1">
      <alignment horizontal="center"/>
    </xf>
    <xf numFmtId="184" fontId="3" fillId="0" borderId="10" xfId="0" applyNumberFormat="1" applyFont="1" applyBorder="1" applyAlignment="1">
      <alignment horizontal="center"/>
    </xf>
    <xf numFmtId="191" fontId="21" fillId="0" borderId="37" xfId="2" applyNumberFormat="1" applyFont="1" applyBorder="1" applyAlignment="1">
      <alignment horizontal="center"/>
    </xf>
    <xf numFmtId="2" fontId="21" fillId="0" borderId="9" xfId="0" applyNumberFormat="1" applyFont="1" applyBorder="1" applyAlignment="1">
      <alignment horizontal="center"/>
    </xf>
    <xf numFmtId="2" fontId="25" fillId="0" borderId="10" xfId="0" applyNumberFormat="1" applyFont="1" applyBorder="1" applyAlignment="1">
      <alignment horizontal="center"/>
    </xf>
    <xf numFmtId="184" fontId="21" fillId="0" borderId="37" xfId="0" applyNumberFormat="1" applyFont="1" applyBorder="1" applyAlignment="1">
      <alignment horizontal="center"/>
    </xf>
    <xf numFmtId="184" fontId="21" fillId="0" borderId="0" xfId="0" applyNumberFormat="1" applyFont="1" applyBorder="1" applyAlignment="1">
      <alignment horizontal="center"/>
    </xf>
    <xf numFmtId="184" fontId="21" fillId="0" borderId="9" xfId="0" applyNumberFormat="1" applyFont="1" applyBorder="1" applyAlignment="1">
      <alignment horizontal="center"/>
    </xf>
    <xf numFmtId="184" fontId="9" fillId="0" borderId="10" xfId="0" applyNumberFormat="1" applyFont="1" applyBorder="1" applyAlignment="1">
      <alignment horizontal="center"/>
    </xf>
    <xf numFmtId="184" fontId="21" fillId="0" borderId="14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84" fontId="21" fillId="0" borderId="54" xfId="0" applyNumberFormat="1" applyFont="1" applyBorder="1" applyAlignment="1">
      <alignment horizontal="center"/>
    </xf>
    <xf numFmtId="184" fontId="21" fillId="0" borderId="55" xfId="0" applyNumberFormat="1" applyFont="1" applyBorder="1" applyAlignment="1">
      <alignment horizontal="center"/>
    </xf>
    <xf numFmtId="184" fontId="9" fillId="0" borderId="28" xfId="0" applyNumberFormat="1" applyFont="1" applyBorder="1" applyAlignment="1">
      <alignment horizontal="center"/>
    </xf>
    <xf numFmtId="184" fontId="9" fillId="0" borderId="11" xfId="0" applyNumberFormat="1" applyFont="1" applyBorder="1" applyAlignment="1">
      <alignment horizontal="center"/>
    </xf>
    <xf numFmtId="184" fontId="9" fillId="0" borderId="0" xfId="0" applyNumberFormat="1" applyFont="1" applyBorder="1" applyAlignment="1">
      <alignment horizontal="center"/>
    </xf>
    <xf numFmtId="184" fontId="21" fillId="0" borderId="13" xfId="0" applyNumberFormat="1" applyFont="1" applyBorder="1" applyAlignment="1">
      <alignment horizontal="center"/>
    </xf>
    <xf numFmtId="184" fontId="9" fillId="0" borderId="55" xfId="0" applyNumberFormat="1" applyFont="1" applyBorder="1" applyAlignment="1">
      <alignment horizontal="center"/>
    </xf>
    <xf numFmtId="184" fontId="9" fillId="0" borderId="9" xfId="0" applyNumberFormat="1" applyFont="1" applyBorder="1" applyAlignment="1">
      <alignment horizontal="center"/>
    </xf>
    <xf numFmtId="2" fontId="17" fillId="0" borderId="13" xfId="0" applyNumberFormat="1" applyFont="1" applyBorder="1" applyAlignment="1">
      <alignment horizontal="center"/>
    </xf>
    <xf numFmtId="2" fontId="3" fillId="0" borderId="11" xfId="0" applyNumberFormat="1" applyFont="1" applyBorder="1" applyAlignment="1">
      <alignment horizontal="center"/>
    </xf>
    <xf numFmtId="2" fontId="3" fillId="0" borderId="13" xfId="0" applyNumberFormat="1" applyFont="1" applyBorder="1" applyAlignment="1">
      <alignment horizontal="center"/>
    </xf>
    <xf numFmtId="2" fontId="3" fillId="0" borderId="9" xfId="0" applyNumberFormat="1" applyFont="1" applyBorder="1" applyAlignment="1">
      <alignment horizontal="center"/>
    </xf>
    <xf numFmtId="183" fontId="3" fillId="0" borderId="9" xfId="0" applyNumberFormat="1" applyFont="1" applyBorder="1" applyAlignment="1">
      <alignment horizontal="center"/>
    </xf>
    <xf numFmtId="0" fontId="21" fillId="0" borderId="37" xfId="0" applyFont="1" applyBorder="1"/>
    <xf numFmtId="2" fontId="0" fillId="0" borderId="37" xfId="0" applyNumberFormat="1" applyBorder="1" applyAlignment="1">
      <alignment horizontal="center"/>
    </xf>
    <xf numFmtId="192" fontId="0" fillId="0" borderId="15" xfId="0" applyNumberFormat="1" applyBorder="1" applyAlignment="1">
      <alignment horizontal="center"/>
    </xf>
    <xf numFmtId="192" fontId="0" fillId="0" borderId="0" xfId="0" applyNumberFormat="1" applyBorder="1" applyAlignment="1">
      <alignment horizontal="center"/>
    </xf>
    <xf numFmtId="192" fontId="0" fillId="0" borderId="12" xfId="0" applyNumberFormat="1" applyBorder="1" applyAlignment="1">
      <alignment horizontal="center"/>
    </xf>
    <xf numFmtId="192" fontId="0" fillId="0" borderId="0" xfId="0" applyNumberFormat="1" applyAlignment="1">
      <alignment horizontal="center"/>
    </xf>
    <xf numFmtId="192" fontId="3" fillId="0" borderId="0" xfId="0" applyNumberFormat="1" applyFont="1" applyAlignment="1">
      <alignment horizontal="center"/>
    </xf>
    <xf numFmtId="184" fontId="3" fillId="0" borderId="0" xfId="0" applyNumberFormat="1" applyFont="1"/>
    <xf numFmtId="2" fontId="0" fillId="0" borderId="14" xfId="0" applyNumberFormat="1" applyBorder="1"/>
    <xf numFmtId="2" fontId="0" fillId="0" borderId="3" xfId="0" applyNumberFormat="1" applyBorder="1"/>
    <xf numFmtId="182" fontId="0" fillId="0" borderId="15" xfId="0" applyNumberFormat="1" applyBorder="1" applyAlignment="1">
      <alignment horizontal="center"/>
    </xf>
    <xf numFmtId="182" fontId="0" fillId="0" borderId="13" xfId="0" applyNumberFormat="1" applyBorder="1" applyAlignment="1">
      <alignment horizontal="center"/>
    </xf>
    <xf numFmtId="182" fontId="3" fillId="0" borderId="56" xfId="0" applyNumberFormat="1" applyFont="1" applyBorder="1" applyAlignment="1">
      <alignment horizontal="center"/>
    </xf>
    <xf numFmtId="182" fontId="3" fillId="0" borderId="33" xfId="0" applyNumberFormat="1" applyFont="1" applyBorder="1" applyAlignment="1">
      <alignment horizontal="center"/>
    </xf>
    <xf numFmtId="184" fontId="21" fillId="0" borderId="37" xfId="0" applyNumberFormat="1" applyFont="1" applyBorder="1"/>
    <xf numFmtId="184" fontId="3" fillId="0" borderId="37" xfId="0" applyNumberFormat="1" applyFont="1" applyBorder="1"/>
    <xf numFmtId="182" fontId="3" fillId="0" borderId="37" xfId="0" applyNumberFormat="1" applyFont="1" applyBorder="1"/>
    <xf numFmtId="182" fontId="0" fillId="0" borderId="33" xfId="0" applyNumberFormat="1" applyBorder="1" applyAlignment="1">
      <alignment horizontal="center"/>
    </xf>
    <xf numFmtId="184" fontId="0" fillId="0" borderId="0" xfId="0" applyNumberFormat="1" applyBorder="1"/>
    <xf numFmtId="2" fontId="26" fillId="0" borderId="15" xfId="0" applyNumberFormat="1" applyFont="1" applyBorder="1" applyAlignment="1">
      <alignment horizontal="center"/>
    </xf>
    <xf numFmtId="2" fontId="26" fillId="0" borderId="12" xfId="0" applyNumberFormat="1" applyFont="1" applyBorder="1" applyAlignment="1">
      <alignment horizontal="center"/>
    </xf>
    <xf numFmtId="177" fontId="21" fillId="0" borderId="37" xfId="2" applyNumberFormat="1" applyFont="1" applyBorder="1" applyAlignment="1">
      <alignment horizontal="center"/>
    </xf>
    <xf numFmtId="2" fontId="21" fillId="0" borderId="0" xfId="0" applyNumberFormat="1" applyFont="1" applyBorder="1"/>
    <xf numFmtId="184" fontId="9" fillId="0" borderId="54" xfId="0" applyNumberFormat="1" applyFont="1" applyBorder="1" applyAlignment="1">
      <alignment horizontal="center"/>
    </xf>
    <xf numFmtId="184" fontId="9" fillId="0" borderId="13" xfId="0" applyNumberFormat="1" applyFont="1" applyBorder="1" applyAlignment="1">
      <alignment horizontal="center"/>
    </xf>
    <xf numFmtId="2" fontId="25" fillId="0" borderId="37" xfId="0" applyNumberFormat="1" applyFont="1" applyBorder="1" applyAlignment="1">
      <alignment horizontal="center"/>
    </xf>
    <xf numFmtId="0" fontId="0" fillId="0" borderId="0" xfId="0" applyFill="1" applyAlignment="1">
      <alignment horizontal="center"/>
    </xf>
    <xf numFmtId="184" fontId="9" fillId="0" borderId="11" xfId="0" applyNumberFormat="1" applyFont="1" applyFill="1" applyBorder="1" applyAlignment="1">
      <alignment horizontal="center"/>
    </xf>
    <xf numFmtId="2" fontId="3" fillId="0" borderId="37" xfId="0" applyNumberFormat="1" applyFont="1" applyBorder="1"/>
    <xf numFmtId="2" fontId="0" fillId="0" borderId="15" xfId="0" applyNumberFormat="1" applyBorder="1"/>
    <xf numFmtId="2" fontId="0" fillId="0" borderId="12" xfId="0" applyNumberFormat="1" applyBorder="1"/>
    <xf numFmtId="184" fontId="3" fillId="0" borderId="37" xfId="0" applyNumberFormat="1" applyFont="1" applyBorder="1" applyAlignment="1">
      <alignment horizontal="center"/>
    </xf>
    <xf numFmtId="184" fontId="0" fillId="0" borderId="15" xfId="0" applyNumberFormat="1" applyBorder="1"/>
    <xf numFmtId="184" fontId="0" fillId="0" borderId="12" xfId="0" applyNumberFormat="1" applyBorder="1"/>
    <xf numFmtId="2" fontId="0" fillId="0" borderId="54" xfId="0" applyNumberFormat="1" applyBorder="1"/>
    <xf numFmtId="2" fontId="0" fillId="0" borderId="55" xfId="0" applyNumberFormat="1" applyBorder="1"/>
    <xf numFmtId="2" fontId="0" fillId="0" borderId="28" xfId="0" applyNumberFormat="1" applyBorder="1"/>
    <xf numFmtId="184" fontId="3" fillId="0" borderId="0" xfId="0" applyNumberFormat="1" applyFont="1" applyBorder="1"/>
    <xf numFmtId="184" fontId="3" fillId="0" borderId="0" xfId="0" applyNumberFormat="1" applyFont="1" applyBorder="1" applyAlignment="1">
      <alignment horizontal="center"/>
    </xf>
    <xf numFmtId="184" fontId="3" fillId="5" borderId="37" xfId="0" applyNumberFormat="1" applyFont="1" applyFill="1" applyBorder="1" applyAlignment="1">
      <alignment horizontal="center"/>
    </xf>
    <xf numFmtId="184" fontId="0" fillId="0" borderId="0" xfId="0" applyNumberFormat="1" applyFill="1" applyBorder="1"/>
    <xf numFmtId="0" fontId="27" fillId="0" borderId="0" xfId="0" applyFont="1"/>
    <xf numFmtId="0" fontId="0" fillId="0" borderId="11" xfId="0" applyFill="1" applyBorder="1"/>
    <xf numFmtId="184" fontId="28" fillId="0" borderId="37" xfId="0" applyNumberFormat="1" applyFont="1" applyBorder="1"/>
    <xf numFmtId="184" fontId="20" fillId="0" borderId="37" xfId="0" applyNumberFormat="1" applyFont="1" applyBorder="1" applyAlignment="1">
      <alignment horizontal="center"/>
    </xf>
    <xf numFmtId="184" fontId="0" fillId="0" borderId="14" xfId="0" applyNumberFormat="1" applyBorder="1"/>
    <xf numFmtId="184" fontId="0" fillId="0" borderId="3" xfId="0" applyNumberFormat="1" applyBorder="1"/>
    <xf numFmtId="184" fontId="0" fillId="0" borderId="11" xfId="0" applyNumberFormat="1" applyBorder="1"/>
    <xf numFmtId="0" fontId="9" fillId="0" borderId="14" xfId="0" applyFont="1" applyBorder="1"/>
    <xf numFmtId="0" fontId="9" fillId="0" borderId="54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184" fontId="0" fillId="0" borderId="28" xfId="0" applyNumberFormat="1" applyBorder="1"/>
    <xf numFmtId="184" fontId="0" fillId="0" borderId="54" xfId="0" applyNumberFormat="1" applyBorder="1"/>
    <xf numFmtId="184" fontId="0" fillId="0" borderId="55" xfId="0" applyNumberFormat="1" applyBorder="1"/>
    <xf numFmtId="184" fontId="0" fillId="0" borderId="55" xfId="0" applyNumberFormat="1" applyFill="1" applyBorder="1"/>
    <xf numFmtId="184" fontId="0" fillId="0" borderId="28" xfId="0" applyNumberFormat="1" applyFill="1" applyBorder="1"/>
    <xf numFmtId="0" fontId="0" fillId="0" borderId="34" xfId="0" applyBorder="1"/>
    <xf numFmtId="0" fontId="0" fillId="0" borderId="56" xfId="0" applyBorder="1"/>
    <xf numFmtId="0" fontId="0" fillId="0" borderId="33" xfId="0" applyBorder="1"/>
    <xf numFmtId="0" fontId="21" fillId="0" borderId="0" xfId="0" applyFont="1" applyBorder="1"/>
    <xf numFmtId="0" fontId="21" fillId="0" borderId="12" xfId="0" applyFont="1" applyBorder="1"/>
    <xf numFmtId="0" fontId="21" fillId="0" borderId="15" xfId="0" applyFont="1" applyBorder="1"/>
    <xf numFmtId="0" fontId="21" fillId="0" borderId="0" xfId="0" applyFont="1" applyFill="1" applyBorder="1"/>
    <xf numFmtId="0" fontId="25" fillId="0" borderId="55" xfId="0" applyFont="1" applyBorder="1"/>
    <xf numFmtId="0" fontId="25" fillId="0" borderId="28" xfId="0" applyFont="1" applyBorder="1"/>
    <xf numFmtId="2" fontId="0" fillId="0" borderId="15" xfId="0" applyNumberFormat="1" applyFill="1" applyBorder="1" applyAlignment="1">
      <alignment horizontal="center"/>
    </xf>
    <xf numFmtId="2" fontId="3" fillId="0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right"/>
    </xf>
    <xf numFmtId="2" fontId="0" fillId="0" borderId="55" xfId="0" applyNumberFormat="1" applyFill="1" applyBorder="1"/>
    <xf numFmtId="192" fontId="0" fillId="0" borderId="0" xfId="0" applyNumberFormat="1"/>
    <xf numFmtId="0" fontId="3" fillId="5" borderId="34" xfId="0" applyFont="1" applyFill="1" applyBorder="1"/>
    <xf numFmtId="0" fontId="0" fillId="5" borderId="56" xfId="0" applyFill="1" applyBorder="1"/>
    <xf numFmtId="0" fontId="0" fillId="5" borderId="33" xfId="0" applyFill="1" applyBorder="1"/>
    <xf numFmtId="184" fontId="0" fillId="0" borderId="37" xfId="0" applyNumberFormat="1" applyBorder="1" applyAlignment="1">
      <alignment horizontal="center"/>
    </xf>
    <xf numFmtId="0" fontId="3" fillId="0" borderId="0" xfId="0" applyFont="1" applyFill="1" applyBorder="1"/>
    <xf numFmtId="0" fontId="21" fillId="0" borderId="54" xfId="0" applyFont="1" applyBorder="1"/>
    <xf numFmtId="0" fontId="21" fillId="0" borderId="55" xfId="0" applyFont="1" applyBorder="1"/>
    <xf numFmtId="0" fontId="21" fillId="0" borderId="28" xfId="0" applyFont="1" applyBorder="1"/>
    <xf numFmtId="184" fontId="9" fillId="0" borderId="37" xfId="0" applyNumberFormat="1" applyFont="1" applyBorder="1" applyAlignment="1">
      <alignment horizontal="center"/>
    </xf>
    <xf numFmtId="184" fontId="3" fillId="0" borderId="14" xfId="0" applyNumberFormat="1" applyFont="1" applyBorder="1" applyAlignment="1">
      <alignment horizontal="center"/>
    </xf>
    <xf numFmtId="184" fontId="3" fillId="0" borderId="3" xfId="0" applyNumberFormat="1" applyFont="1" applyBorder="1" applyAlignment="1">
      <alignment horizontal="center"/>
    </xf>
    <xf numFmtId="184" fontId="3" fillId="0" borderId="11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184" fontId="0" fillId="0" borderId="56" xfId="0" applyNumberFormat="1" applyBorder="1"/>
    <xf numFmtId="184" fontId="0" fillId="0" borderId="33" xfId="0" applyNumberFormat="1" applyBorder="1"/>
    <xf numFmtId="2" fontId="0" fillId="0" borderId="34" xfId="0" applyNumberFormat="1" applyBorder="1"/>
    <xf numFmtId="0" fontId="3" fillId="6" borderId="34" xfId="0" applyFont="1" applyFill="1" applyBorder="1"/>
    <xf numFmtId="0" fontId="0" fillId="6" borderId="56" xfId="0" applyFill="1" applyBorder="1"/>
    <xf numFmtId="0" fontId="0" fillId="6" borderId="33" xfId="0" applyFill="1" applyBorder="1"/>
    <xf numFmtId="184" fontId="3" fillId="6" borderId="37" xfId="0" applyNumberFormat="1" applyFont="1" applyFill="1" applyBorder="1" applyAlignment="1">
      <alignment horizontal="center"/>
    </xf>
    <xf numFmtId="0" fontId="3" fillId="3" borderId="34" xfId="0" applyFont="1" applyFill="1" applyBorder="1"/>
    <xf numFmtId="0" fontId="0" fillId="3" borderId="56" xfId="0" applyFill="1" applyBorder="1"/>
    <xf numFmtId="0" fontId="0" fillId="3" borderId="33" xfId="0" applyFill="1" applyBorder="1"/>
    <xf numFmtId="184" fontId="3" fillId="3" borderId="37" xfId="0" applyNumberFormat="1" applyFont="1" applyFill="1" applyBorder="1" applyAlignment="1">
      <alignment horizontal="center"/>
    </xf>
    <xf numFmtId="0" fontId="9" fillId="0" borderId="0" xfId="4" applyFont="1" applyFill="1" applyAlignment="1" applyProtection="1">
      <alignment vertical="center"/>
    </xf>
    <xf numFmtId="0" fontId="9" fillId="0" borderId="0" xfId="4" applyFont="1" applyFill="1" applyAlignment="1" applyProtection="1">
      <alignment horizontal="left" vertical="center" indent="4"/>
    </xf>
    <xf numFmtId="0" fontId="29" fillId="0" borderId="0" xfId="4"/>
    <xf numFmtId="0" fontId="1" fillId="0" borderId="0" xfId="4" applyFont="1" applyFill="1" applyBorder="1" applyAlignment="1" applyProtection="1">
      <alignment horizontal="center" vertical="center"/>
    </xf>
    <xf numFmtId="0" fontId="12" fillId="0" borderId="0" xfId="4" applyFont="1" applyFill="1" applyBorder="1" applyAlignment="1" applyProtection="1">
      <alignment horizontal="center" vertical="center"/>
    </xf>
    <xf numFmtId="0" fontId="9" fillId="0" borderId="0" xfId="4" applyFont="1" applyFill="1" applyBorder="1" applyAlignment="1" applyProtection="1">
      <alignment vertical="center"/>
    </xf>
    <xf numFmtId="0" fontId="9" fillId="0" borderId="0" xfId="4" applyFont="1" applyFill="1" applyAlignment="1" applyProtection="1">
      <alignment horizontal="center" vertical="center"/>
    </xf>
    <xf numFmtId="0" fontId="3" fillId="0" borderId="57" xfId="4" applyFont="1" applyFill="1" applyBorder="1" applyAlignment="1" applyProtection="1">
      <alignment vertical="center"/>
    </xf>
    <xf numFmtId="0" fontId="9" fillId="0" borderId="58" xfId="4" applyFont="1" applyFill="1" applyBorder="1" applyAlignment="1" applyProtection="1">
      <alignment vertical="center"/>
    </xf>
    <xf numFmtId="0" fontId="28" fillId="0" borderId="57" xfId="4" applyFont="1" applyFill="1" applyBorder="1" applyAlignment="1" applyProtection="1">
      <alignment vertical="center"/>
    </xf>
    <xf numFmtId="0" fontId="28" fillId="0" borderId="58" xfId="4" applyFont="1" applyFill="1" applyBorder="1" applyAlignment="1" applyProtection="1">
      <alignment vertical="center"/>
    </xf>
    <xf numFmtId="0" fontId="28" fillId="0" borderId="18" xfId="4" applyFont="1" applyFill="1" applyBorder="1" applyAlignment="1" applyProtection="1">
      <alignment vertical="center"/>
    </xf>
    <xf numFmtId="0" fontId="9" fillId="0" borderId="59" xfId="4" applyFont="1" applyFill="1" applyBorder="1" applyAlignment="1" applyProtection="1">
      <alignment vertical="center"/>
    </xf>
    <xf numFmtId="0" fontId="28" fillId="0" borderId="59" xfId="4" applyFont="1" applyFill="1" applyBorder="1" applyAlignment="1" applyProtection="1">
      <alignment vertical="center"/>
    </xf>
    <xf numFmtId="0" fontId="28" fillId="0" borderId="0" xfId="4" applyFont="1" applyFill="1" applyBorder="1" applyAlignment="1" applyProtection="1">
      <alignment vertical="center"/>
    </xf>
    <xf numFmtId="0" fontId="28" fillId="0" borderId="60" xfId="4" applyFont="1" applyFill="1" applyBorder="1" applyAlignment="1" applyProtection="1">
      <alignment vertical="center"/>
    </xf>
    <xf numFmtId="0" fontId="28" fillId="0" borderId="20" xfId="4" applyFont="1" applyFill="1" applyBorder="1" applyAlignment="1" applyProtection="1">
      <alignment vertical="center"/>
    </xf>
    <xf numFmtId="0" fontId="9" fillId="0" borderId="22" xfId="4" applyFont="1" applyFill="1" applyBorder="1" applyAlignment="1" applyProtection="1">
      <alignment vertical="center"/>
    </xf>
    <xf numFmtId="0" fontId="29" fillId="0" borderId="0" xfId="4" applyProtection="1">
      <protection locked="0"/>
    </xf>
    <xf numFmtId="0" fontId="35" fillId="0" borderId="0" xfId="4" applyFont="1" applyFill="1" applyBorder="1" applyAlignment="1" applyProtection="1">
      <alignment horizontal="left" vertical="center"/>
    </xf>
    <xf numFmtId="0" fontId="9" fillId="0" borderId="60" xfId="4" applyFont="1" applyFill="1" applyBorder="1" applyAlignment="1" applyProtection="1">
      <alignment vertical="center"/>
    </xf>
    <xf numFmtId="184" fontId="21" fillId="0" borderId="0" xfId="4" applyNumberFormat="1" applyFont="1" applyFill="1" applyBorder="1" applyAlignment="1" applyProtection="1">
      <alignment vertical="center"/>
    </xf>
    <xf numFmtId="0" fontId="1" fillId="0" borderId="0" xfId="4" applyFont="1" applyFill="1" applyBorder="1" applyAlignment="1" applyProtection="1">
      <alignment horizontal="left" vertical="center"/>
    </xf>
    <xf numFmtId="2" fontId="17" fillId="0" borderId="0" xfId="4" applyNumberFormat="1" applyFont="1" applyFill="1" applyBorder="1" applyAlignment="1" applyProtection="1">
      <alignment horizontal="center" vertical="center"/>
    </xf>
    <xf numFmtId="2" fontId="28" fillId="0" borderId="57" xfId="4" applyNumberFormat="1" applyFont="1" applyFill="1" applyBorder="1" applyAlignment="1" applyProtection="1">
      <alignment horizontal="center" vertical="center"/>
    </xf>
    <xf numFmtId="2" fontId="28" fillId="0" borderId="58" xfId="4" applyNumberFormat="1" applyFont="1" applyFill="1" applyBorder="1" applyAlignment="1" applyProtection="1">
      <alignment horizontal="center" vertical="center"/>
    </xf>
    <xf numFmtId="0" fontId="9" fillId="0" borderId="20" xfId="4" applyFont="1" applyFill="1" applyBorder="1" applyAlignment="1" applyProtection="1">
      <alignment vertical="center"/>
    </xf>
    <xf numFmtId="2" fontId="17" fillId="0" borderId="58" xfId="4" applyNumberFormat="1" applyFont="1" applyFill="1" applyBorder="1" applyAlignment="1" applyProtection="1">
      <alignment horizontal="center" vertical="center"/>
    </xf>
    <xf numFmtId="2" fontId="17" fillId="0" borderId="18" xfId="4" applyNumberFormat="1" applyFont="1" applyFill="1" applyBorder="1" applyAlignment="1" applyProtection="1">
      <alignment horizontal="center" vertical="center"/>
    </xf>
    <xf numFmtId="0" fontId="3" fillId="0" borderId="0" xfId="4" applyFont="1" applyFill="1" applyBorder="1" applyAlignment="1" applyProtection="1">
      <alignment vertical="center"/>
    </xf>
    <xf numFmtId="2" fontId="17" fillId="0" borderId="60" xfId="4" applyNumberFormat="1" applyFont="1" applyFill="1" applyBorder="1" applyAlignment="1" applyProtection="1">
      <alignment horizontal="center" vertical="center"/>
    </xf>
    <xf numFmtId="2" fontId="21" fillId="4" borderId="0" xfId="4" applyNumberFormat="1" applyFont="1" applyFill="1" applyBorder="1" applyAlignment="1" applyProtection="1">
      <alignment horizontal="center" vertical="center"/>
      <protection locked="0"/>
    </xf>
    <xf numFmtId="2" fontId="17" fillId="4" borderId="0" xfId="4" applyNumberFormat="1" applyFont="1" applyFill="1" applyBorder="1" applyAlignment="1" applyProtection="1">
      <alignment horizontal="center" vertical="center"/>
    </xf>
    <xf numFmtId="0" fontId="9" fillId="0" borderId="18" xfId="4" applyFont="1" applyFill="1" applyBorder="1" applyAlignment="1" applyProtection="1">
      <alignment vertical="center"/>
    </xf>
    <xf numFmtId="195" fontId="38" fillId="0" borderId="0" xfId="4" applyNumberFormat="1" applyFont="1" applyFill="1" applyBorder="1" applyAlignment="1" applyProtection="1">
      <alignment vertical="center"/>
    </xf>
    <xf numFmtId="0" fontId="9" fillId="0" borderId="0" xfId="4" applyFont="1" applyFill="1" applyBorder="1" applyAlignment="1" applyProtection="1">
      <alignment horizontal="center" vertical="center"/>
    </xf>
    <xf numFmtId="0" fontId="31" fillId="0" borderId="60" xfId="4" applyFont="1" applyFill="1" applyBorder="1" applyAlignment="1" applyProtection="1">
      <alignment horizontal="left" vertical="center"/>
    </xf>
    <xf numFmtId="0" fontId="3" fillId="0" borderId="0" xfId="4" applyFont="1" applyFill="1" applyAlignment="1" applyProtection="1">
      <alignment vertical="center"/>
    </xf>
    <xf numFmtId="0" fontId="9" fillId="0" borderId="6" xfId="4" applyFont="1" applyFill="1" applyBorder="1" applyAlignment="1" applyProtection="1">
      <alignment vertical="center"/>
    </xf>
    <xf numFmtId="0" fontId="36" fillId="0" borderId="0" xfId="4" applyFont="1" applyFill="1" applyBorder="1" applyAlignment="1" applyProtection="1">
      <alignment horizontal="left" vertical="center"/>
    </xf>
    <xf numFmtId="0" fontId="3" fillId="0" borderId="59" xfId="4" applyFont="1" applyFill="1" applyBorder="1" applyAlignment="1" applyProtection="1">
      <alignment vertical="center"/>
    </xf>
    <xf numFmtId="0" fontId="3" fillId="0" borderId="20" xfId="4" applyFont="1" applyFill="1" applyBorder="1" applyAlignment="1" applyProtection="1">
      <alignment vertical="center"/>
    </xf>
    <xf numFmtId="2" fontId="28" fillId="0" borderId="18" xfId="4" applyNumberFormat="1" applyFont="1" applyFill="1" applyBorder="1" applyAlignment="1" applyProtection="1">
      <alignment horizontal="center" vertical="center"/>
    </xf>
    <xf numFmtId="0" fontId="35" fillId="0" borderId="22" xfId="4" applyFont="1" applyFill="1" applyBorder="1" applyAlignment="1" applyProtection="1">
      <alignment horizontal="left" vertical="center"/>
    </xf>
    <xf numFmtId="184" fontId="21" fillId="0" borderId="22" xfId="4" applyNumberFormat="1" applyFont="1" applyFill="1" applyBorder="1" applyAlignment="1" applyProtection="1">
      <alignment horizontal="center" vertical="center"/>
    </xf>
    <xf numFmtId="2" fontId="28" fillId="0" borderId="46" xfId="4" applyNumberFormat="1" applyFont="1" applyFill="1" applyBorder="1" applyAlignment="1" applyProtection="1">
      <alignment horizontal="center" vertical="center"/>
    </xf>
    <xf numFmtId="192" fontId="21" fillId="0" borderId="21" xfId="4" applyNumberFormat="1" applyFont="1" applyFill="1" applyBorder="1" applyAlignment="1" applyProtection="1">
      <alignment vertical="center"/>
      <protection locked="0"/>
    </xf>
    <xf numFmtId="0" fontId="9" fillId="4" borderId="0" xfId="4" applyFont="1" applyFill="1" applyBorder="1" applyAlignment="1" applyProtection="1">
      <alignment vertical="center"/>
    </xf>
    <xf numFmtId="0" fontId="1" fillId="0" borderId="60" xfId="4" applyFont="1" applyFill="1" applyBorder="1" applyAlignment="1" applyProtection="1">
      <alignment horizontal="left" vertical="center"/>
    </xf>
    <xf numFmtId="192" fontId="21" fillId="0" borderId="0" xfId="4" applyNumberFormat="1" applyFont="1" applyFill="1" applyBorder="1" applyAlignment="1" applyProtection="1">
      <alignment horizontal="right" vertical="center"/>
      <protection locked="0"/>
    </xf>
    <xf numFmtId="0" fontId="21" fillId="0" borderId="60" xfId="4" applyFont="1" applyFill="1" applyBorder="1" applyAlignment="1" applyProtection="1">
      <alignment vertical="center"/>
    </xf>
    <xf numFmtId="0" fontId="21" fillId="0" borderId="6" xfId="4" applyFont="1" applyFill="1" applyBorder="1" applyAlignment="1" applyProtection="1">
      <alignment vertical="center"/>
    </xf>
    <xf numFmtId="0" fontId="21" fillId="0" borderId="18" xfId="4" applyFont="1" applyFill="1" applyBorder="1" applyAlignment="1" applyProtection="1">
      <alignment horizontal="left" vertical="center"/>
    </xf>
    <xf numFmtId="0" fontId="21" fillId="0" borderId="60" xfId="4" applyFont="1" applyFill="1" applyBorder="1" applyAlignment="1" applyProtection="1">
      <alignment horizontal="left" vertical="center"/>
    </xf>
    <xf numFmtId="2" fontId="39" fillId="0" borderId="0" xfId="4" applyNumberFormat="1" applyFont="1" applyFill="1" applyBorder="1" applyAlignment="1" applyProtection="1">
      <alignment horizontal="center" vertical="center"/>
    </xf>
    <xf numFmtId="2" fontId="39" fillId="0" borderId="0" xfId="4" applyNumberFormat="1" applyFont="1" applyFill="1" applyBorder="1" applyAlignment="1" applyProtection="1">
      <alignment horizontal="center" vertical="center"/>
      <protection locked="0"/>
    </xf>
    <xf numFmtId="0" fontId="29" fillId="0" borderId="0" xfId="4" applyBorder="1"/>
    <xf numFmtId="3" fontId="39" fillId="0" borderId="0" xfId="4" applyNumberFormat="1" applyFont="1" applyFill="1" applyBorder="1" applyAlignment="1" applyProtection="1">
      <alignment vertical="center"/>
    </xf>
    <xf numFmtId="0" fontId="31" fillId="0" borderId="0" xfId="4" applyFont="1" applyFill="1" applyBorder="1" applyAlignment="1" applyProtection="1">
      <alignment vertical="center"/>
    </xf>
    <xf numFmtId="0" fontId="31" fillId="0" borderId="0" xfId="4" applyFont="1" applyFill="1" applyBorder="1" applyAlignment="1" applyProtection="1">
      <alignment horizontal="left" vertical="center"/>
    </xf>
    <xf numFmtId="192" fontId="17" fillId="0" borderId="0" xfId="4" applyNumberFormat="1" applyFont="1" applyFill="1" applyBorder="1" applyAlignment="1" applyProtection="1">
      <alignment horizontal="right" vertical="center"/>
    </xf>
    <xf numFmtId="3" fontId="17" fillId="0" borderId="0" xfId="4" applyNumberFormat="1" applyFont="1" applyFill="1" applyBorder="1" applyAlignment="1" applyProtection="1">
      <alignment horizontal="right" vertical="center"/>
    </xf>
    <xf numFmtId="3" fontId="17" fillId="0" borderId="0" xfId="4" applyNumberFormat="1" applyFont="1" applyFill="1" applyBorder="1" applyAlignment="1" applyProtection="1">
      <alignment vertical="center"/>
    </xf>
    <xf numFmtId="0" fontId="17" fillId="0" borderId="18" xfId="4" applyFont="1" applyFill="1" applyBorder="1" applyAlignment="1" applyProtection="1">
      <alignment horizontal="left" vertical="center"/>
    </xf>
    <xf numFmtId="0" fontId="17" fillId="0" borderId="60" xfId="4" applyFont="1" applyFill="1" applyBorder="1" applyAlignment="1" applyProtection="1">
      <alignment horizontal="left" vertical="center"/>
    </xf>
    <xf numFmtId="0" fontId="17" fillId="0" borderId="6" xfId="4" applyFont="1" applyFill="1" applyBorder="1" applyAlignment="1" applyProtection="1">
      <alignment vertical="center"/>
    </xf>
    <xf numFmtId="192" fontId="17" fillId="0" borderId="58" xfId="4" applyNumberFormat="1" applyFont="1" applyFill="1" applyBorder="1" applyAlignment="1" applyProtection="1">
      <alignment horizontal="right" vertical="center"/>
    </xf>
    <xf numFmtId="2" fontId="9" fillId="4" borderId="0" xfId="4" applyNumberFormat="1" applyFont="1" applyFill="1" applyBorder="1" applyAlignment="1" applyProtection="1">
      <alignment horizontal="center" vertical="center"/>
    </xf>
    <xf numFmtId="0" fontId="3" fillId="4" borderId="0" xfId="4" applyFont="1" applyFill="1" applyBorder="1" applyAlignment="1" applyProtection="1">
      <alignment vertical="center"/>
    </xf>
    <xf numFmtId="2" fontId="21" fillId="4" borderId="0" xfId="4" applyNumberFormat="1" applyFont="1" applyFill="1" applyBorder="1" applyAlignment="1" applyProtection="1">
      <alignment horizontal="center" vertical="center"/>
    </xf>
    <xf numFmtId="0" fontId="9" fillId="4" borderId="0" xfId="4" applyFont="1" applyFill="1" applyBorder="1" applyAlignment="1" applyProtection="1">
      <alignment horizontal="center" vertical="center"/>
    </xf>
    <xf numFmtId="0" fontId="29" fillId="0" borderId="59" xfId="4" applyBorder="1"/>
    <xf numFmtId="2" fontId="21" fillId="4" borderId="20" xfId="4" applyNumberFormat="1" applyFont="1" applyFill="1" applyBorder="1" applyAlignment="1" applyProtection="1">
      <alignment horizontal="center" vertical="center"/>
    </xf>
    <xf numFmtId="2" fontId="21" fillId="4" borderId="22" xfId="4" applyNumberFormat="1" applyFont="1" applyFill="1" applyBorder="1" applyAlignment="1" applyProtection="1">
      <alignment horizontal="center" vertical="center"/>
    </xf>
    <xf numFmtId="0" fontId="9" fillId="4" borderId="22" xfId="4" applyFont="1" applyFill="1" applyBorder="1" applyAlignment="1" applyProtection="1">
      <alignment horizontal="center" vertical="center"/>
    </xf>
    <xf numFmtId="2" fontId="9" fillId="4" borderId="6" xfId="4" applyNumberFormat="1" applyFont="1" applyFill="1" applyBorder="1" applyAlignment="1" applyProtection="1">
      <alignment horizontal="center" vertical="center"/>
    </xf>
    <xf numFmtId="0" fontId="9" fillId="4" borderId="60" xfId="4" applyFont="1" applyFill="1" applyBorder="1" applyAlignment="1" applyProtection="1">
      <alignment vertical="center"/>
    </xf>
    <xf numFmtId="2" fontId="28" fillId="0" borderId="0" xfId="4" applyNumberFormat="1" applyFont="1" applyFill="1" applyBorder="1" applyAlignment="1" applyProtection="1">
      <alignment horizontal="center" vertical="center"/>
    </xf>
    <xf numFmtId="0" fontId="37" fillId="4" borderId="0" xfId="4" applyFont="1" applyFill="1" applyBorder="1" applyAlignment="1" applyProtection="1">
      <alignment horizontal="center" vertical="center"/>
    </xf>
    <xf numFmtId="0" fontId="34" fillId="4" borderId="0" xfId="4" applyFont="1" applyFill="1" applyBorder="1" applyAlignment="1" applyProtection="1">
      <alignment vertical="center"/>
    </xf>
    <xf numFmtId="0" fontId="9" fillId="0" borderId="57" xfId="4" applyFont="1" applyFill="1" applyBorder="1" applyAlignment="1" applyProtection="1">
      <alignment vertical="center"/>
    </xf>
    <xf numFmtId="0" fontId="31" fillId="4" borderId="0" xfId="4" applyFont="1" applyFill="1" applyBorder="1" applyAlignment="1" applyProtection="1">
      <alignment vertical="center"/>
    </xf>
    <xf numFmtId="0" fontId="17" fillId="0" borderId="22" xfId="4" applyFont="1" applyFill="1" applyBorder="1" applyAlignment="1" applyProtection="1">
      <alignment vertical="center"/>
    </xf>
    <xf numFmtId="0" fontId="28" fillId="4" borderId="0" xfId="4" applyFont="1" applyFill="1" applyBorder="1" applyAlignment="1" applyProtection="1">
      <alignment vertical="center"/>
    </xf>
    <xf numFmtId="192" fontId="17" fillId="4" borderId="0" xfId="4" applyNumberFormat="1" applyFont="1" applyFill="1" applyBorder="1" applyAlignment="1" applyProtection="1">
      <alignment horizontal="right" vertical="center"/>
    </xf>
    <xf numFmtId="0" fontId="36" fillId="4" borderId="0" xfId="4" applyFont="1" applyFill="1" applyBorder="1" applyAlignment="1" applyProtection="1">
      <alignment horizontal="left" vertical="center"/>
    </xf>
    <xf numFmtId="195" fontId="38" fillId="4" borderId="0" xfId="4" applyNumberFormat="1" applyFont="1" applyFill="1" applyBorder="1" applyAlignment="1" applyProtection="1">
      <alignment horizontal="center" vertical="center"/>
    </xf>
    <xf numFmtId="0" fontId="31" fillId="4" borderId="0" xfId="4" applyFont="1" applyFill="1" applyBorder="1" applyAlignment="1" applyProtection="1">
      <alignment horizontal="left" vertical="center"/>
    </xf>
    <xf numFmtId="3" fontId="39" fillId="4" borderId="0" xfId="4" applyNumberFormat="1" applyFont="1" applyFill="1" applyBorder="1" applyAlignment="1" applyProtection="1">
      <alignment vertical="center"/>
    </xf>
    <xf numFmtId="0" fontId="33" fillId="4" borderId="0" xfId="4" applyFont="1" applyFill="1" applyBorder="1" applyAlignment="1"/>
    <xf numFmtId="0" fontId="33" fillId="0" borderId="0" xfId="4" applyFont="1" applyBorder="1" applyAlignment="1">
      <alignment horizontal="center"/>
    </xf>
    <xf numFmtId="0" fontId="17" fillId="0" borderId="0" xfId="4" applyFont="1" applyFill="1" applyBorder="1" applyAlignment="1" applyProtection="1">
      <alignment vertical="center"/>
    </xf>
    <xf numFmtId="0" fontId="21" fillId="0" borderId="0" xfId="4" applyFont="1" applyFill="1" applyBorder="1" applyAlignment="1" applyProtection="1">
      <alignment vertical="center"/>
    </xf>
    <xf numFmtId="0" fontId="5" fillId="0" borderId="56" xfId="3" applyFont="1" applyFill="1" applyBorder="1" applyAlignment="1" applyProtection="1">
      <alignment horizontal="center" vertical="center"/>
    </xf>
    <xf numFmtId="0" fontId="43" fillId="0" borderId="0" xfId="3" applyFont="1" applyFill="1" applyBorder="1" applyAlignment="1" applyProtection="1">
      <alignment horizontal="centerContinuous" vertical="center"/>
    </xf>
    <xf numFmtId="0" fontId="29" fillId="0" borderId="0" xfId="5" applyBorder="1" applyAlignment="1" applyProtection="1">
      <alignment vertical="center"/>
    </xf>
    <xf numFmtId="0" fontId="29" fillId="0" borderId="0" xfId="5" applyAlignment="1" applyProtection="1">
      <alignment vertical="center"/>
    </xf>
    <xf numFmtId="0" fontId="43" fillId="0" borderId="59" xfId="3" applyFont="1" applyFill="1" applyBorder="1" applyAlignment="1" applyProtection="1">
      <alignment horizontal="centerContinuous" vertical="center"/>
    </xf>
    <xf numFmtId="0" fontId="44" fillId="0" borderId="0" xfId="3" applyFont="1" applyFill="1" applyBorder="1" applyAlignment="1" applyProtection="1">
      <alignment horizontal="centerContinuous" vertical="center"/>
    </xf>
    <xf numFmtId="0" fontId="45" fillId="0" borderId="0" xfId="3" applyFont="1" applyFill="1" applyBorder="1" applyAlignment="1" applyProtection="1">
      <alignment horizontal="centerContinuous" vertical="center"/>
    </xf>
    <xf numFmtId="0" fontId="46" fillId="0" borderId="0" xfId="3" applyFont="1" applyFill="1" applyBorder="1" applyAlignment="1" applyProtection="1">
      <alignment horizontal="centerContinuous" vertical="center"/>
    </xf>
    <xf numFmtId="0" fontId="45" fillId="0" borderId="60" xfId="3" applyFont="1" applyFill="1" applyBorder="1" applyAlignment="1" applyProtection="1">
      <alignment horizontal="centerContinuous" vertical="center"/>
    </xf>
    <xf numFmtId="0" fontId="30" fillId="0" borderId="59" xfId="3" applyFill="1" applyBorder="1" applyAlignment="1" applyProtection="1">
      <alignment horizontal="centerContinuous" vertical="center"/>
    </xf>
    <xf numFmtId="0" fontId="30" fillId="0" borderId="0" xfId="3" applyFill="1" applyBorder="1" applyAlignment="1" applyProtection="1">
      <alignment vertical="center"/>
    </xf>
    <xf numFmtId="0" fontId="30" fillId="0" borderId="20" xfId="3" applyFill="1" applyBorder="1" applyAlignment="1" applyProtection="1">
      <alignment horizontal="centerContinuous" vertical="center"/>
    </xf>
    <xf numFmtId="0" fontId="30" fillId="0" borderId="22" xfId="3" applyFill="1" applyBorder="1" applyAlignment="1" applyProtection="1">
      <alignment horizontal="centerContinuous" vertical="center"/>
    </xf>
    <xf numFmtId="0" fontId="30" fillId="0" borderId="22" xfId="3" applyFill="1" applyBorder="1" applyAlignment="1" applyProtection="1">
      <alignment vertical="center"/>
    </xf>
    <xf numFmtId="0" fontId="47" fillId="0" borderId="22" xfId="3" applyFont="1" applyFill="1" applyBorder="1" applyAlignment="1" applyProtection="1">
      <alignment vertical="center"/>
    </xf>
    <xf numFmtId="0" fontId="30" fillId="0" borderId="6" xfId="3" applyFill="1" applyBorder="1" applyAlignment="1" applyProtection="1">
      <alignment vertical="center"/>
    </xf>
    <xf numFmtId="0" fontId="48" fillId="0" borderId="57" xfId="3" applyFont="1" applyFill="1" applyBorder="1" applyAlignment="1" applyProtection="1">
      <alignment vertical="center"/>
    </xf>
    <xf numFmtId="0" fontId="48" fillId="0" borderId="58" xfId="3" applyFont="1" applyFill="1" applyBorder="1" applyAlignment="1" applyProtection="1">
      <alignment vertical="center"/>
    </xf>
    <xf numFmtId="0" fontId="48" fillId="0" borderId="18" xfId="3" applyFont="1" applyFill="1" applyBorder="1" applyAlignment="1" applyProtection="1">
      <alignment vertical="center"/>
    </xf>
    <xf numFmtId="0" fontId="48" fillId="0" borderId="59" xfId="3" applyFont="1" applyFill="1" applyBorder="1" applyAlignment="1" applyProtection="1">
      <alignment vertical="center"/>
    </xf>
    <xf numFmtId="0" fontId="48" fillId="0" borderId="60" xfId="3" applyFont="1" applyFill="1" applyBorder="1" applyAlignment="1" applyProtection="1">
      <alignment vertical="center"/>
    </xf>
    <xf numFmtId="0" fontId="29" fillId="0" borderId="60" xfId="5" applyBorder="1" applyAlignment="1" applyProtection="1">
      <alignment vertical="center"/>
    </xf>
    <xf numFmtId="0" fontId="48" fillId="0" borderId="0" xfId="3" applyFont="1" applyFill="1" applyBorder="1" applyAlignment="1" applyProtection="1">
      <alignment vertical="center"/>
    </xf>
    <xf numFmtId="0" fontId="18" fillId="0" borderId="0" xfId="3" applyFont="1" applyFill="1" applyBorder="1" applyAlignment="1" applyProtection="1">
      <alignment vertical="center"/>
    </xf>
    <xf numFmtId="2" fontId="18" fillId="0" borderId="0" xfId="3" applyNumberFormat="1" applyFont="1" applyFill="1" applyBorder="1" applyAlignment="1" applyProtection="1">
      <alignment horizontal="center" vertical="center"/>
    </xf>
    <xf numFmtId="0" fontId="36" fillId="0" borderId="0" xfId="3" applyFont="1" applyFill="1" applyBorder="1" applyAlignment="1" applyProtection="1">
      <alignment vertical="center"/>
    </xf>
    <xf numFmtId="194" fontId="29" fillId="0" borderId="0" xfId="5" applyNumberFormat="1" applyBorder="1" applyAlignment="1" applyProtection="1">
      <alignment vertical="center"/>
    </xf>
    <xf numFmtId="0" fontId="50" fillId="0" borderId="0" xfId="5" applyFont="1" applyBorder="1" applyAlignment="1" applyProtection="1">
      <alignment vertical="center"/>
    </xf>
    <xf numFmtId="194" fontId="48" fillId="0" borderId="0" xfId="3" applyNumberFormat="1" applyFont="1" applyFill="1" applyBorder="1" applyAlignment="1" applyProtection="1">
      <alignment vertical="center"/>
    </xf>
    <xf numFmtId="0" fontId="9" fillId="0" borderId="60" xfId="3" applyFont="1" applyFill="1" applyBorder="1" applyAlignment="1" applyProtection="1">
      <alignment vertical="center"/>
    </xf>
    <xf numFmtId="0" fontId="9" fillId="0" borderId="59" xfId="3" applyFont="1" applyFill="1" applyBorder="1" applyAlignment="1" applyProtection="1">
      <alignment vertical="center"/>
    </xf>
    <xf numFmtId="0" fontId="9" fillId="0" borderId="0" xfId="5" applyFont="1" applyBorder="1" applyAlignment="1" applyProtection="1">
      <alignment vertical="center"/>
    </xf>
    <xf numFmtId="0" fontId="3" fillId="0" borderId="0" xfId="3" applyFont="1" applyFill="1" applyBorder="1" applyAlignment="1" applyProtection="1">
      <alignment horizontal="center" vertical="center"/>
    </xf>
    <xf numFmtId="194" fontId="17" fillId="0" borderId="0" xfId="3" applyNumberFormat="1" applyFont="1" applyFill="1" applyBorder="1" applyAlignment="1" applyProtection="1">
      <alignment horizontal="centerContinuous" vertical="center"/>
    </xf>
    <xf numFmtId="0" fontId="9" fillId="0" borderId="0" xfId="3" applyFont="1" applyFill="1" applyBorder="1" applyAlignment="1" applyProtection="1">
      <alignment vertical="center"/>
    </xf>
    <xf numFmtId="0" fontId="9" fillId="0" borderId="60" xfId="5" applyFont="1" applyBorder="1" applyAlignment="1" applyProtection="1">
      <alignment vertical="center"/>
    </xf>
    <xf numFmtId="194" fontId="9" fillId="0" borderId="60" xfId="3" applyNumberFormat="1" applyFont="1" applyFill="1" applyBorder="1" applyAlignment="1" applyProtection="1">
      <alignment vertical="center"/>
    </xf>
    <xf numFmtId="0" fontId="29" fillId="0" borderId="20" xfId="5" applyBorder="1" applyAlignment="1" applyProtection="1">
      <alignment vertical="center"/>
    </xf>
    <xf numFmtId="0" fontId="1" fillId="0" borderId="22" xfId="5" quotePrefix="1" applyFont="1" applyBorder="1" applyAlignment="1" applyProtection="1">
      <alignment vertical="center"/>
    </xf>
    <xf numFmtId="0" fontId="29" fillId="0" borderId="22" xfId="5" applyBorder="1" applyAlignment="1" applyProtection="1">
      <alignment vertical="center"/>
    </xf>
    <xf numFmtId="0" fontId="29" fillId="0" borderId="6" xfId="5" applyBorder="1" applyAlignment="1" applyProtection="1">
      <alignment vertical="center"/>
    </xf>
    <xf numFmtId="0" fontId="1" fillId="0" borderId="0" xfId="5" applyFont="1" applyBorder="1" applyAlignment="1" applyProtection="1">
      <alignment vertical="center"/>
    </xf>
    <xf numFmtId="0" fontId="1" fillId="0" borderId="0" xfId="5" quotePrefix="1" applyFont="1" applyBorder="1" applyAlignment="1" applyProtection="1">
      <alignment vertical="center"/>
    </xf>
    <xf numFmtId="0" fontId="29" fillId="0" borderId="0" xfId="5" applyFont="1" applyAlignment="1" applyProtection="1">
      <alignment vertical="center"/>
    </xf>
    <xf numFmtId="192" fontId="17" fillId="0" borderId="0" xfId="3" applyNumberFormat="1" applyFont="1" applyFill="1" applyBorder="1" applyAlignment="1" applyProtection="1">
      <alignment vertical="center"/>
    </xf>
    <xf numFmtId="0" fontId="17" fillId="0" borderId="0" xfId="3" applyFont="1" applyFill="1" applyBorder="1" applyAlignment="1" applyProtection="1">
      <alignment vertical="center"/>
    </xf>
    <xf numFmtId="4" fontId="9" fillId="0" borderId="0" xfId="6" applyNumberFormat="1" applyFont="1" applyFill="1" applyBorder="1" applyAlignment="1" applyProtection="1">
      <alignment vertical="center"/>
    </xf>
    <xf numFmtId="0" fontId="29" fillId="0" borderId="0" xfId="5" applyFont="1" applyBorder="1" applyAlignment="1" applyProtection="1">
      <alignment vertical="center"/>
    </xf>
    <xf numFmtId="2" fontId="9" fillId="0" borderId="0" xfId="3" applyNumberFormat="1" applyFont="1" applyFill="1" applyBorder="1" applyAlignment="1" applyProtection="1">
      <alignment horizontal="left" vertical="center"/>
    </xf>
    <xf numFmtId="0" fontId="9" fillId="0" borderId="12" xfId="3" applyFont="1" applyFill="1" applyBorder="1" applyAlignment="1" applyProtection="1">
      <alignment vertical="center"/>
    </xf>
    <xf numFmtId="0" fontId="48" fillId="0" borderId="12" xfId="3" applyFont="1" applyFill="1" applyBorder="1" applyAlignment="1" applyProtection="1">
      <alignment vertical="center"/>
    </xf>
    <xf numFmtId="0" fontId="29" fillId="0" borderId="12" xfId="5" applyFont="1" applyBorder="1" applyAlignment="1" applyProtection="1">
      <alignment vertical="center"/>
    </xf>
    <xf numFmtId="0" fontId="29" fillId="0" borderId="12" xfId="5" applyBorder="1" applyAlignment="1" applyProtection="1">
      <alignment vertical="center"/>
    </xf>
    <xf numFmtId="0" fontId="18" fillId="0" borderId="56" xfId="3" applyFont="1" applyFill="1" applyBorder="1" applyAlignment="1" applyProtection="1">
      <alignment vertical="center"/>
    </xf>
    <xf numFmtId="0" fontId="9" fillId="0" borderId="56" xfId="3" applyFont="1" applyFill="1" applyBorder="1" applyAlignment="1" applyProtection="1">
      <alignment horizontal="center" vertical="center"/>
    </xf>
    <xf numFmtId="192" fontId="18" fillId="0" borderId="56" xfId="3" applyNumberFormat="1" applyFont="1" applyFill="1" applyBorder="1" applyAlignment="1" applyProtection="1">
      <alignment vertical="center"/>
    </xf>
    <xf numFmtId="0" fontId="29" fillId="0" borderId="56" xfId="5" applyFont="1" applyBorder="1" applyAlignment="1" applyProtection="1">
      <alignment horizontal="center" vertical="center"/>
    </xf>
    <xf numFmtId="2" fontId="18" fillId="0" borderId="56" xfId="3" applyNumberFormat="1" applyFont="1" applyFill="1" applyBorder="1" applyAlignment="1" applyProtection="1">
      <alignment horizontal="center" vertical="center"/>
    </xf>
    <xf numFmtId="0" fontId="17" fillId="4" borderId="0" xfId="4" applyFont="1" applyFill="1" applyBorder="1" applyAlignment="1" applyProtection="1">
      <alignment vertical="center"/>
    </xf>
    <xf numFmtId="0" fontId="28" fillId="4" borderId="57" xfId="4" applyFont="1" applyFill="1" applyBorder="1" applyAlignment="1" applyProtection="1">
      <alignment vertical="center"/>
    </xf>
    <xf numFmtId="0" fontId="28" fillId="4" borderId="58" xfId="4" applyFont="1" applyFill="1" applyBorder="1" applyAlignment="1" applyProtection="1">
      <alignment vertical="center"/>
    </xf>
    <xf numFmtId="192" fontId="17" fillId="4" borderId="58" xfId="4" applyNumberFormat="1" applyFont="1" applyFill="1" applyBorder="1" applyAlignment="1" applyProtection="1">
      <alignment horizontal="right" vertical="center"/>
    </xf>
    <xf numFmtId="0" fontId="36" fillId="4" borderId="58" xfId="4" applyFont="1" applyFill="1" applyBorder="1" applyAlignment="1" applyProtection="1">
      <alignment horizontal="left" vertical="center"/>
    </xf>
    <xf numFmtId="0" fontId="9" fillId="4" borderId="18" xfId="4" applyFont="1" applyFill="1" applyBorder="1" applyAlignment="1" applyProtection="1">
      <alignment vertical="center"/>
    </xf>
    <xf numFmtId="0" fontId="28" fillId="4" borderId="59" xfId="4" applyFont="1" applyFill="1" applyBorder="1" applyAlignment="1" applyProtection="1">
      <alignment vertical="center"/>
    </xf>
    <xf numFmtId="0" fontId="28" fillId="4" borderId="20" xfId="4" applyFont="1" applyFill="1" applyBorder="1" applyAlignment="1" applyProtection="1">
      <alignment vertical="center"/>
    </xf>
    <xf numFmtId="0" fontId="28" fillId="4" borderId="22" xfId="4" applyFont="1" applyFill="1" applyBorder="1" applyAlignment="1" applyProtection="1">
      <alignment vertical="center"/>
    </xf>
    <xf numFmtId="192" fontId="17" fillId="4" borderId="22" xfId="4" applyNumberFormat="1" applyFont="1" applyFill="1" applyBorder="1" applyAlignment="1" applyProtection="1">
      <alignment horizontal="right" vertical="center"/>
    </xf>
    <xf numFmtId="0" fontId="9" fillId="4" borderId="58" xfId="4" applyFont="1" applyFill="1" applyBorder="1" applyAlignment="1" applyProtection="1">
      <alignment vertical="center"/>
    </xf>
    <xf numFmtId="0" fontId="17" fillId="4" borderId="58" xfId="4" applyFont="1" applyFill="1" applyBorder="1" applyAlignment="1" applyProtection="1">
      <alignment vertical="center"/>
    </xf>
    <xf numFmtId="0" fontId="17" fillId="4" borderId="22" xfId="4" applyFont="1" applyFill="1" applyBorder="1" applyAlignment="1" applyProtection="1">
      <alignment vertical="center"/>
    </xf>
    <xf numFmtId="0" fontId="9" fillId="4" borderId="6" xfId="4" applyFont="1" applyFill="1" applyBorder="1" applyAlignment="1" applyProtection="1">
      <alignment vertical="center"/>
    </xf>
    <xf numFmtId="0" fontId="28" fillId="4" borderId="18" xfId="4" applyFont="1" applyFill="1" applyBorder="1" applyAlignment="1" applyProtection="1">
      <alignment vertical="center"/>
    </xf>
    <xf numFmtId="0" fontId="28" fillId="4" borderId="60" xfId="4" applyFont="1" applyFill="1" applyBorder="1" applyAlignment="1" applyProtection="1">
      <alignment vertical="center"/>
    </xf>
    <xf numFmtId="0" fontId="0" fillId="0" borderId="0" xfId="0" applyAlignment="1">
      <alignment horizontal="right"/>
    </xf>
    <xf numFmtId="192" fontId="17" fillId="0" borderId="58" xfId="4" applyNumberFormat="1" applyFont="1" applyFill="1" applyBorder="1" applyAlignment="1" applyProtection="1">
      <alignment horizontal="center" vertical="center"/>
    </xf>
    <xf numFmtId="192" fontId="17" fillId="2" borderId="18" xfId="4" applyNumberFormat="1" applyFont="1" applyFill="1" applyBorder="1" applyAlignment="1" applyProtection="1">
      <alignment horizontal="center" vertical="center"/>
    </xf>
    <xf numFmtId="192" fontId="17" fillId="0" borderId="61" xfId="4" applyNumberFormat="1" applyFont="1" applyFill="1" applyBorder="1" applyAlignment="1" applyProtection="1">
      <alignment horizontal="center" vertical="center"/>
    </xf>
    <xf numFmtId="192" fontId="17" fillId="0" borderId="0" xfId="4" applyNumberFormat="1" applyFont="1" applyFill="1" applyBorder="1" applyAlignment="1" applyProtection="1">
      <alignment horizontal="center" vertical="center"/>
    </xf>
    <xf numFmtId="192" fontId="17" fillId="0" borderId="60" xfId="4" applyNumberFormat="1" applyFont="1" applyFill="1" applyBorder="1" applyAlignment="1" applyProtection="1">
      <alignment horizontal="center" vertical="center"/>
    </xf>
    <xf numFmtId="192" fontId="17" fillId="4" borderId="0" xfId="4" applyNumberFormat="1" applyFont="1" applyFill="1" applyBorder="1" applyAlignment="1" applyProtection="1">
      <alignment horizontal="center" vertical="center"/>
    </xf>
    <xf numFmtId="192" fontId="17" fillId="2" borderId="0" xfId="4" applyNumberFormat="1" applyFont="1" applyFill="1" applyBorder="1" applyAlignment="1" applyProtection="1">
      <alignment horizontal="center" vertical="center"/>
    </xf>
    <xf numFmtId="192" fontId="17" fillId="0" borderId="21" xfId="4" applyNumberFormat="1" applyFont="1" applyFill="1" applyBorder="1" applyAlignment="1" applyProtection="1">
      <alignment horizontal="center" vertical="center"/>
    </xf>
    <xf numFmtId="192" fontId="17" fillId="0" borderId="22" xfId="4" applyNumberFormat="1" applyFont="1" applyFill="1" applyBorder="1" applyAlignment="1" applyProtection="1">
      <alignment horizontal="center" vertical="center"/>
    </xf>
    <xf numFmtId="192" fontId="17" fillId="0" borderId="6" xfId="4" applyNumberFormat="1" applyFont="1" applyFill="1" applyBorder="1" applyAlignment="1" applyProtection="1">
      <alignment horizontal="center" vertical="center"/>
    </xf>
    <xf numFmtId="184" fontId="17" fillId="0" borderId="57" xfId="4" applyNumberFormat="1" applyFont="1" applyFill="1" applyBorder="1" applyAlignment="1" applyProtection="1">
      <alignment horizontal="center" vertical="center"/>
    </xf>
    <xf numFmtId="184" fontId="17" fillId="0" borderId="58" xfId="4" applyNumberFormat="1" applyFont="1" applyFill="1" applyBorder="1" applyAlignment="1" applyProtection="1">
      <alignment horizontal="center" vertical="center"/>
    </xf>
    <xf numFmtId="184" fontId="17" fillId="4" borderId="57" xfId="4" applyNumberFormat="1" applyFont="1" applyFill="1" applyBorder="1" applyAlignment="1" applyProtection="1">
      <alignment horizontal="center" vertical="center"/>
    </xf>
    <xf numFmtId="184" fontId="17" fillId="4" borderId="58" xfId="4" applyNumberFormat="1" applyFont="1" applyFill="1" applyBorder="1" applyAlignment="1" applyProtection="1">
      <alignment horizontal="center" vertical="center"/>
    </xf>
    <xf numFmtId="184" fontId="17" fillId="2" borderId="58" xfId="4" applyNumberFormat="1" applyFont="1" applyFill="1" applyBorder="1" applyAlignment="1" applyProtection="1">
      <alignment horizontal="center" vertical="center"/>
    </xf>
    <xf numFmtId="184" fontId="37" fillId="2" borderId="58" xfId="4" applyNumberFormat="1" applyFont="1" applyFill="1" applyBorder="1" applyAlignment="1" applyProtection="1">
      <alignment horizontal="center" vertical="center"/>
    </xf>
    <xf numFmtId="184" fontId="37" fillId="2" borderId="18" xfId="4" applyNumberFormat="1" applyFont="1" applyFill="1" applyBorder="1" applyAlignment="1" applyProtection="1">
      <alignment horizontal="center" vertical="center"/>
    </xf>
    <xf numFmtId="184" fontId="31" fillId="4" borderId="59" xfId="4" applyNumberFormat="1" applyFont="1" applyFill="1" applyBorder="1" applyAlignment="1" applyProtection="1">
      <alignment vertical="center"/>
    </xf>
    <xf numFmtId="184" fontId="31" fillId="4" borderId="0" xfId="4" applyNumberFormat="1" applyFont="1" applyFill="1" applyBorder="1" applyAlignment="1" applyProtection="1">
      <alignment vertical="center"/>
    </xf>
    <xf numFmtId="184" fontId="9" fillId="4" borderId="0" xfId="4" applyNumberFormat="1" applyFont="1" applyFill="1" applyBorder="1" applyAlignment="1" applyProtection="1">
      <alignment vertical="center"/>
    </xf>
    <xf numFmtId="184" fontId="9" fillId="4" borderId="60" xfId="4" applyNumberFormat="1" applyFont="1" applyFill="1" applyBorder="1" applyAlignment="1" applyProtection="1">
      <alignment horizontal="center" vertical="center"/>
    </xf>
    <xf numFmtId="184" fontId="17" fillId="4" borderId="59" xfId="4" applyNumberFormat="1" applyFont="1" applyFill="1" applyBorder="1" applyAlignment="1" applyProtection="1">
      <alignment horizontal="center" vertical="center"/>
    </xf>
    <xf numFmtId="184" fontId="17" fillId="4" borderId="0" xfId="4" applyNumberFormat="1" applyFont="1" applyFill="1" applyBorder="1" applyAlignment="1" applyProtection="1">
      <alignment horizontal="center" vertical="center"/>
    </xf>
    <xf numFmtId="184" fontId="17" fillId="2" borderId="0" xfId="4" applyNumberFormat="1" applyFont="1" applyFill="1" applyBorder="1" applyAlignment="1" applyProtection="1">
      <alignment horizontal="center" vertical="center"/>
    </xf>
    <xf numFmtId="184" fontId="17" fillId="2" borderId="60" xfId="4" applyNumberFormat="1" applyFont="1" applyFill="1" applyBorder="1" applyAlignment="1" applyProtection="1">
      <alignment horizontal="center" vertical="center"/>
    </xf>
    <xf numFmtId="184" fontId="9" fillId="4" borderId="60" xfId="4" applyNumberFormat="1" applyFont="1" applyFill="1" applyBorder="1" applyAlignment="1" applyProtection="1">
      <alignment vertical="center"/>
    </xf>
    <xf numFmtId="184" fontId="21" fillId="2" borderId="0" xfId="4" applyNumberFormat="1" applyFont="1" applyFill="1" applyBorder="1" applyAlignment="1" applyProtection="1">
      <alignment horizontal="center" vertical="center"/>
    </xf>
    <xf numFmtId="184" fontId="21" fillId="4" borderId="0" xfId="4" applyNumberFormat="1" applyFont="1" applyFill="1" applyBorder="1" applyAlignment="1" applyProtection="1">
      <alignment horizontal="center" vertical="center"/>
    </xf>
    <xf numFmtId="184" fontId="21" fillId="4" borderId="60" xfId="4" applyNumberFormat="1" applyFont="1" applyFill="1" applyBorder="1" applyAlignment="1" applyProtection="1">
      <alignment horizontal="center" vertical="center"/>
    </xf>
    <xf numFmtId="184" fontId="17" fillId="4" borderId="20" xfId="4" applyNumberFormat="1" applyFont="1" applyFill="1" applyBorder="1" applyAlignment="1" applyProtection="1">
      <alignment horizontal="center" vertical="center"/>
    </xf>
    <xf numFmtId="184" fontId="17" fillId="4" borderId="22" xfId="4" applyNumberFormat="1" applyFont="1" applyFill="1" applyBorder="1" applyAlignment="1" applyProtection="1">
      <alignment horizontal="center" vertical="center"/>
    </xf>
    <xf numFmtId="184" fontId="17" fillId="4" borderId="6" xfId="4" applyNumberFormat="1" applyFont="1" applyFill="1" applyBorder="1" applyAlignment="1" applyProtection="1">
      <alignment horizontal="center" vertical="center"/>
    </xf>
    <xf numFmtId="184" fontId="17" fillId="0" borderId="22" xfId="4" applyNumberFormat="1" applyFont="1" applyFill="1" applyBorder="1" applyAlignment="1" applyProtection="1">
      <alignment horizontal="center" vertical="center"/>
    </xf>
    <xf numFmtId="184" fontId="17" fillId="0" borderId="0" xfId="4" applyNumberFormat="1" applyFont="1" applyFill="1" applyBorder="1" applyAlignment="1" applyProtection="1">
      <alignment horizontal="center" vertical="center"/>
    </xf>
    <xf numFmtId="191" fontId="21" fillId="6" borderId="37" xfId="2" applyNumberFormat="1" applyFont="1" applyFill="1" applyBorder="1" applyAlignment="1">
      <alignment horizontal="center"/>
    </xf>
    <xf numFmtId="0" fontId="21" fillId="6" borderId="37" xfId="0" applyFont="1" applyFill="1" applyBorder="1"/>
    <xf numFmtId="184" fontId="21" fillId="6" borderId="37" xfId="0" applyNumberFormat="1" applyFont="1" applyFill="1" applyBorder="1"/>
    <xf numFmtId="184" fontId="21" fillId="6" borderId="54" xfId="0" applyNumberFormat="1" applyFont="1" applyFill="1" applyBorder="1" applyAlignment="1">
      <alignment horizontal="center"/>
    </xf>
    <xf numFmtId="184" fontId="21" fillId="6" borderId="15" xfId="0" applyNumberFormat="1" applyFont="1" applyFill="1" applyBorder="1" applyAlignment="1">
      <alignment horizontal="center"/>
    </xf>
    <xf numFmtId="184" fontId="21" fillId="6" borderId="13" xfId="0" applyNumberFormat="1" applyFont="1" applyFill="1" applyBorder="1" applyAlignment="1">
      <alignment horizontal="center"/>
    </xf>
    <xf numFmtId="184" fontId="21" fillId="6" borderId="55" xfId="0" applyNumberFormat="1" applyFont="1" applyFill="1" applyBorder="1" applyAlignment="1">
      <alignment horizontal="center"/>
    </xf>
    <xf numFmtId="184" fontId="21" fillId="6" borderId="0" xfId="0" applyNumberFormat="1" applyFont="1" applyFill="1" applyBorder="1" applyAlignment="1">
      <alignment horizontal="center"/>
    </xf>
    <xf numFmtId="184" fontId="21" fillId="6" borderId="9" xfId="0" applyNumberFormat="1" applyFont="1" applyFill="1" applyBorder="1" applyAlignment="1">
      <alignment horizontal="center"/>
    </xf>
    <xf numFmtId="184" fontId="21" fillId="6" borderId="28" xfId="0" applyNumberFormat="1" applyFont="1" applyFill="1" applyBorder="1" applyAlignment="1">
      <alignment horizontal="center"/>
    </xf>
    <xf numFmtId="184" fontId="21" fillId="6" borderId="12" xfId="0" applyNumberFormat="1" applyFont="1" applyFill="1" applyBorder="1" applyAlignment="1">
      <alignment horizontal="center"/>
    </xf>
    <xf numFmtId="184" fontId="21" fillId="6" borderId="10" xfId="0" applyNumberFormat="1" applyFont="1" applyFill="1" applyBorder="1" applyAlignment="1">
      <alignment horizontal="center"/>
    </xf>
    <xf numFmtId="1" fontId="21" fillId="0" borderId="37" xfId="0" applyNumberFormat="1" applyFont="1" applyBorder="1"/>
    <xf numFmtId="3" fontId="17" fillId="0" borderId="58" xfId="4" applyNumberFormat="1" applyFont="1" applyFill="1" applyBorder="1" applyAlignment="1" applyProtection="1">
      <alignment horizontal="right" vertical="center"/>
    </xf>
    <xf numFmtId="192" fontId="17" fillId="0" borderId="0" xfId="4" applyNumberFormat="1" applyFont="1" applyFill="1" applyBorder="1" applyAlignment="1" applyProtection="1">
      <alignment vertical="center"/>
    </xf>
    <xf numFmtId="3" fontId="17" fillId="0" borderId="22" xfId="4" applyNumberFormat="1" applyFont="1" applyFill="1" applyBorder="1" applyAlignment="1" applyProtection="1">
      <alignment vertical="center"/>
    </xf>
    <xf numFmtId="0" fontId="17" fillId="0" borderId="60" xfId="4" applyFont="1" applyFill="1" applyBorder="1" applyAlignment="1" applyProtection="1">
      <alignment vertical="center"/>
    </xf>
    <xf numFmtId="0" fontId="21" fillId="6" borderId="37" xfId="0" applyFont="1" applyFill="1" applyBorder="1" applyAlignment="1">
      <alignment horizontal="center"/>
    </xf>
    <xf numFmtId="3" fontId="17" fillId="0" borderId="0" xfId="4" applyNumberFormat="1" applyFont="1" applyFill="1" applyBorder="1" applyAlignment="1" applyProtection="1">
      <alignment horizontal="center" vertical="center"/>
    </xf>
    <xf numFmtId="3" fontId="9" fillId="0" borderId="0" xfId="4" applyNumberFormat="1" applyFont="1" applyFill="1" applyBorder="1" applyAlignment="1" applyProtection="1">
      <alignment horizontal="center" vertical="center"/>
    </xf>
    <xf numFmtId="0" fontId="31" fillId="0" borderId="60" xfId="4" applyFont="1" applyFill="1" applyBorder="1" applyAlignment="1" applyProtection="1">
      <alignment vertical="center"/>
    </xf>
    <xf numFmtId="184" fontId="17" fillId="4" borderId="0" xfId="4" applyNumberFormat="1" applyFont="1" applyFill="1" applyBorder="1" applyAlignment="1" applyProtection="1">
      <alignment vertical="center"/>
    </xf>
    <xf numFmtId="192" fontId="17" fillId="2" borderId="58" xfId="4" applyNumberFormat="1" applyFont="1" applyFill="1" applyBorder="1" applyAlignment="1" applyProtection="1">
      <alignment horizontal="center" vertical="center"/>
    </xf>
    <xf numFmtId="3" fontId="21" fillId="0" borderId="37" xfId="0" applyNumberFormat="1" applyFont="1" applyBorder="1"/>
    <xf numFmtId="3" fontId="17" fillId="0" borderId="58" xfId="4" applyNumberFormat="1" applyFont="1" applyFill="1" applyBorder="1" applyAlignment="1" applyProtection="1">
      <alignment horizontal="center" vertical="center"/>
    </xf>
    <xf numFmtId="3" fontId="9" fillId="0" borderId="0" xfId="4" applyNumberFormat="1" applyFont="1" applyFill="1" applyBorder="1" applyAlignment="1" applyProtection="1">
      <alignment vertical="center"/>
    </xf>
    <xf numFmtId="184" fontId="17" fillId="4" borderId="58" xfId="4" applyNumberFormat="1" applyFont="1" applyFill="1" applyBorder="1" applyAlignment="1" applyProtection="1">
      <alignment vertical="center"/>
    </xf>
    <xf numFmtId="192" fontId="17" fillId="4" borderId="22" xfId="4" applyNumberFormat="1" applyFont="1" applyFill="1" applyBorder="1" applyAlignment="1" applyProtection="1">
      <alignment vertical="center"/>
    </xf>
    <xf numFmtId="3" fontId="17" fillId="4" borderId="58" xfId="4" applyNumberFormat="1" applyFont="1" applyFill="1" applyBorder="1" applyAlignment="1" applyProtection="1">
      <alignment vertical="center"/>
    </xf>
    <xf numFmtId="3" fontId="17" fillId="4" borderId="0" xfId="4" applyNumberFormat="1" applyFont="1" applyFill="1" applyBorder="1" applyAlignment="1" applyProtection="1">
      <alignment vertical="center"/>
    </xf>
    <xf numFmtId="184" fontId="17" fillId="4" borderId="22" xfId="4" applyNumberFormat="1" applyFont="1" applyFill="1" applyBorder="1" applyAlignment="1" applyProtection="1">
      <alignment horizontal="right" vertical="center"/>
    </xf>
    <xf numFmtId="184" fontId="9" fillId="0" borderId="0" xfId="3" applyNumberFormat="1" applyFont="1" applyFill="1" applyBorder="1" applyAlignment="1" applyProtection="1">
      <alignment vertical="center"/>
    </xf>
    <xf numFmtId="184" fontId="48" fillId="0" borderId="0" xfId="3" applyNumberFormat="1" applyFont="1" applyFill="1" applyBorder="1" applyAlignment="1" applyProtection="1">
      <alignment vertical="center"/>
    </xf>
    <xf numFmtId="0" fontId="9" fillId="0" borderId="0" xfId="5" applyFont="1" applyAlignment="1" applyProtection="1">
      <alignment vertical="center"/>
    </xf>
    <xf numFmtId="184" fontId="9" fillId="0" borderId="0" xfId="5" applyNumberFormat="1" applyFont="1" applyAlignment="1" applyProtection="1">
      <alignment vertical="center"/>
    </xf>
    <xf numFmtId="184" fontId="29" fillId="0" borderId="0" xfId="5" applyNumberFormat="1" applyFont="1" applyBorder="1" applyAlignment="1" applyProtection="1">
      <alignment vertical="center"/>
    </xf>
    <xf numFmtId="184" fontId="9" fillId="0" borderId="0" xfId="5" applyNumberFormat="1" applyFont="1" applyBorder="1" applyAlignment="1" applyProtection="1">
      <alignment vertical="center"/>
    </xf>
    <xf numFmtId="194" fontId="9" fillId="0" borderId="0" xfId="3" applyNumberFormat="1" applyFont="1" applyFill="1" applyBorder="1" applyAlignment="1" applyProtection="1">
      <alignment vertical="center"/>
    </xf>
    <xf numFmtId="184" fontId="9" fillId="0" borderId="0" xfId="3" applyNumberFormat="1" applyFont="1" applyFill="1" applyBorder="1" applyAlignment="1" applyProtection="1">
      <alignment horizontal="right" vertical="center"/>
    </xf>
    <xf numFmtId="184" fontId="21" fillId="0" borderId="37" xfId="0" applyNumberFormat="1" applyFont="1" applyFill="1" applyBorder="1"/>
    <xf numFmtId="2" fontId="21" fillId="0" borderId="14" xfId="0" applyNumberFormat="1" applyFont="1" applyFill="1" applyBorder="1"/>
    <xf numFmtId="2" fontId="21" fillId="0" borderId="3" xfId="0" applyNumberFormat="1" applyFont="1" applyFill="1" applyBorder="1"/>
    <xf numFmtId="2" fontId="0" fillId="0" borderId="11" xfId="0" applyNumberFormat="1" applyFill="1" applyBorder="1"/>
    <xf numFmtId="0" fontId="52" fillId="0" borderId="0" xfId="0" applyFont="1"/>
    <xf numFmtId="0" fontId="17" fillId="0" borderId="37" xfId="4" applyFont="1" applyFill="1" applyBorder="1" applyAlignment="1" applyProtection="1">
      <alignment horizontal="center" vertical="center"/>
    </xf>
    <xf numFmtId="0" fontId="21" fillId="3" borderId="62" xfId="0" applyFont="1" applyFill="1" applyBorder="1" applyAlignment="1" applyProtection="1">
      <alignment horizontal="center"/>
      <protection locked="0"/>
    </xf>
    <xf numFmtId="0" fontId="53" fillId="0" borderId="0" xfId="0" applyFont="1"/>
    <xf numFmtId="0" fontId="0" fillId="0" borderId="0" xfId="0" applyFill="1" applyBorder="1"/>
    <xf numFmtId="183" fontId="0" fillId="0" borderId="0" xfId="0" applyNumberFormat="1"/>
    <xf numFmtId="0" fontId="54" fillId="0" borderId="0" xfId="0" applyFont="1"/>
    <xf numFmtId="3" fontId="9" fillId="0" borderId="0" xfId="3" applyNumberFormat="1" applyFont="1" applyFill="1" applyBorder="1" applyAlignment="1" applyProtection="1">
      <alignment horizontal="right" vertical="center"/>
    </xf>
    <xf numFmtId="3" fontId="18" fillId="0" borderId="0" xfId="3" applyNumberFormat="1" applyFont="1" applyFill="1" applyBorder="1" applyAlignment="1" applyProtection="1">
      <alignment horizontal="center" vertical="center"/>
    </xf>
    <xf numFmtId="3" fontId="29" fillId="0" borderId="0" xfId="5" applyNumberFormat="1" applyBorder="1" applyAlignment="1" applyProtection="1">
      <alignment vertical="center"/>
    </xf>
    <xf numFmtId="3" fontId="29" fillId="0" borderId="12" xfId="5" applyNumberFormat="1" applyBorder="1" applyAlignment="1" applyProtection="1">
      <alignment vertical="center"/>
    </xf>
    <xf numFmtId="3" fontId="9" fillId="0" borderId="0" xfId="5" applyNumberFormat="1" applyFont="1" applyBorder="1" applyAlignment="1" applyProtection="1">
      <alignment vertical="center"/>
    </xf>
    <xf numFmtId="3" fontId="9" fillId="0" borderId="0" xfId="5" applyNumberFormat="1" applyFont="1" applyAlignment="1" applyProtection="1">
      <alignment horizontal="right" vertical="center"/>
    </xf>
    <xf numFmtId="3" fontId="29" fillId="0" borderId="0" xfId="5" applyNumberFormat="1" applyFont="1" applyBorder="1" applyAlignment="1" applyProtection="1">
      <alignment horizontal="right" vertical="center"/>
    </xf>
    <xf numFmtId="2" fontId="0" fillId="0" borderId="13" xfId="0" applyNumberFormat="1" applyBorder="1"/>
    <xf numFmtId="0" fontId="3" fillId="0" borderId="18" xfId="4" applyFont="1" applyFill="1" applyBorder="1" applyAlignment="1" applyProtection="1">
      <alignment vertical="center"/>
    </xf>
    <xf numFmtId="192" fontId="17" fillId="4" borderId="60" xfId="4" applyNumberFormat="1" applyFont="1" applyFill="1" applyBorder="1" applyAlignment="1" applyProtection="1">
      <alignment horizontal="center" vertical="center"/>
    </xf>
    <xf numFmtId="3" fontId="9" fillId="0" borderId="0" xfId="4" applyNumberFormat="1" applyFont="1" applyFill="1" applyAlignment="1" applyProtection="1">
      <alignment vertical="center"/>
    </xf>
    <xf numFmtId="0" fontId="21" fillId="0" borderId="56" xfId="0" applyFont="1" applyBorder="1"/>
    <xf numFmtId="184" fontId="3" fillId="0" borderId="9" xfId="0" applyNumberFormat="1" applyFont="1" applyBorder="1" applyAlignment="1">
      <alignment horizontal="center"/>
    </xf>
    <xf numFmtId="0" fontId="55" fillId="0" borderId="18" xfId="4" applyFont="1" applyFill="1" applyBorder="1" applyAlignment="1" applyProtection="1">
      <alignment horizontal="right" vertical="center"/>
    </xf>
    <xf numFmtId="0" fontId="55" fillId="0" borderId="60" xfId="4" applyFont="1" applyFill="1" applyBorder="1" applyAlignment="1" applyProtection="1">
      <alignment horizontal="right" vertical="center"/>
    </xf>
    <xf numFmtId="0" fontId="31" fillId="0" borderId="0" xfId="4" applyFont="1" applyFill="1" applyAlignment="1" applyProtection="1">
      <alignment vertical="center"/>
    </xf>
    <xf numFmtId="192" fontId="21" fillId="0" borderId="59" xfId="4" applyNumberFormat="1" applyFont="1" applyFill="1" applyBorder="1" applyAlignment="1" applyProtection="1">
      <alignment horizontal="right" vertical="center"/>
      <protection locked="0"/>
    </xf>
    <xf numFmtId="197" fontId="29" fillId="0" borderId="0" xfId="5" applyNumberFormat="1" applyBorder="1" applyAlignment="1" applyProtection="1">
      <alignment vertical="center"/>
    </xf>
    <xf numFmtId="197" fontId="29" fillId="0" borderId="12" xfId="5" applyNumberFormat="1" applyBorder="1" applyAlignment="1" applyProtection="1">
      <alignment vertical="center"/>
    </xf>
    <xf numFmtId="182" fontId="9" fillId="0" borderId="12" xfId="3" applyNumberFormat="1" applyFont="1" applyFill="1" applyBorder="1" applyAlignment="1" applyProtection="1">
      <alignment vertical="center"/>
    </xf>
    <xf numFmtId="182" fontId="0" fillId="0" borderId="13" xfId="0" applyNumberFormat="1" applyBorder="1"/>
    <xf numFmtId="182" fontId="0" fillId="0" borderId="10" xfId="0" applyNumberFormat="1" applyBorder="1"/>
    <xf numFmtId="197" fontId="0" fillId="0" borderId="13" xfId="0" applyNumberFormat="1" applyBorder="1"/>
    <xf numFmtId="197" fontId="0" fillId="0" borderId="10" xfId="0" applyNumberFormat="1" applyBorder="1"/>
    <xf numFmtId="0" fontId="56" fillId="0" borderId="0" xfId="0" applyFont="1"/>
    <xf numFmtId="0" fontId="57" fillId="0" borderId="0" xfId="5" applyFont="1" applyAlignment="1" applyProtection="1">
      <alignment vertical="center"/>
    </xf>
    <xf numFmtId="0" fontId="58" fillId="0" borderId="59" xfId="3" applyFont="1" applyFill="1" applyBorder="1" applyAlignment="1" applyProtection="1">
      <alignment vertical="center"/>
    </xf>
    <xf numFmtId="194" fontId="58" fillId="0" borderId="0" xfId="3" applyNumberFormat="1" applyFont="1" applyFill="1" applyBorder="1" applyAlignment="1" applyProtection="1">
      <alignment vertical="center"/>
    </xf>
    <xf numFmtId="0" fontId="59" fillId="0" borderId="0" xfId="5" applyFont="1" applyAlignment="1" applyProtection="1">
      <alignment vertical="center"/>
    </xf>
    <xf numFmtId="182" fontId="29" fillId="0" borderId="0" xfId="5" applyNumberFormat="1" applyBorder="1" applyAlignment="1" applyProtection="1">
      <alignment vertical="center"/>
    </xf>
    <xf numFmtId="184" fontId="3" fillId="0" borderId="34" xfId="0" applyNumberFormat="1" applyFont="1" applyBorder="1" applyAlignment="1">
      <alignment horizontal="center"/>
    </xf>
    <xf numFmtId="184" fontId="17" fillId="4" borderId="18" xfId="4" applyNumberFormat="1" applyFont="1" applyFill="1" applyBorder="1" applyAlignment="1" applyProtection="1">
      <alignment horizontal="center" vertical="center"/>
    </xf>
    <xf numFmtId="187" fontId="3" fillId="0" borderId="0" xfId="2" applyNumberFormat="1" applyFont="1"/>
    <xf numFmtId="2" fontId="21" fillId="0" borderId="37" xfId="0" applyNumberFormat="1" applyFont="1" applyBorder="1"/>
    <xf numFmtId="2" fontId="3" fillId="5" borderId="15" xfId="0" applyNumberFormat="1" applyFont="1" applyFill="1" applyBorder="1" applyAlignment="1">
      <alignment horizontal="center"/>
    </xf>
    <xf numFmtId="0" fontId="9" fillId="0" borderId="0" xfId="0" applyFont="1" applyAlignment="1">
      <alignment horizontal="left"/>
    </xf>
    <xf numFmtId="184" fontId="60" fillId="0" borderId="11" xfId="0" applyNumberFormat="1" applyFont="1" applyBorder="1" applyAlignment="1">
      <alignment horizontal="center"/>
    </xf>
    <xf numFmtId="3" fontId="31" fillId="0" borderId="0" xfId="4" applyNumberFormat="1" applyFont="1" applyFill="1" applyAlignment="1" applyProtection="1">
      <alignment vertical="center"/>
    </xf>
    <xf numFmtId="0" fontId="9" fillId="0" borderId="37" xfId="4" applyFont="1" applyFill="1" applyBorder="1" applyAlignment="1" applyProtection="1">
      <alignment horizontal="center" vertical="center"/>
    </xf>
    <xf numFmtId="184" fontId="0" fillId="0" borderId="37" xfId="0" applyNumberFormat="1" applyBorder="1" applyAlignment="1" applyProtection="1">
      <alignment horizontal="center"/>
      <protection locked="0"/>
    </xf>
    <xf numFmtId="2" fontId="0" fillId="0" borderId="10" xfId="0" applyNumberFormat="1" applyBorder="1" applyProtection="1">
      <protection locked="0"/>
    </xf>
    <xf numFmtId="184" fontId="21" fillId="0" borderId="14" xfId="0" applyNumberFormat="1" applyFont="1" applyFill="1" applyBorder="1" applyAlignment="1" applyProtection="1">
      <alignment horizontal="center"/>
      <protection locked="0"/>
    </xf>
    <xf numFmtId="184" fontId="21" fillId="0" borderId="3" xfId="0" applyNumberFormat="1" applyFont="1" applyFill="1" applyBorder="1" applyAlignment="1" applyProtection="1">
      <alignment horizontal="center"/>
      <protection locked="0"/>
    </xf>
    <xf numFmtId="184" fontId="21" fillId="0" borderId="11" xfId="0" applyNumberFormat="1" applyFont="1" applyFill="1" applyBorder="1" applyAlignment="1" applyProtection="1">
      <alignment horizontal="center"/>
      <protection locked="0"/>
    </xf>
    <xf numFmtId="183" fontId="21" fillId="0" borderId="0" xfId="0" applyNumberFormat="1" applyFont="1" applyBorder="1" applyAlignment="1" applyProtection="1">
      <alignment horizontal="center"/>
      <protection locked="0"/>
    </xf>
    <xf numFmtId="183" fontId="17" fillId="0" borderId="0" xfId="0" applyNumberFormat="1" applyFont="1" applyBorder="1" applyAlignment="1" applyProtection="1">
      <alignment horizontal="center"/>
      <protection locked="0"/>
    </xf>
    <xf numFmtId="183" fontId="21" fillId="0" borderId="9" xfId="0" applyNumberFormat="1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83" fontId="21" fillId="0" borderId="12" xfId="0" applyNumberFormat="1" applyFont="1" applyBorder="1" applyAlignment="1" applyProtection="1">
      <alignment horizontal="center"/>
      <protection locked="0"/>
    </xf>
    <xf numFmtId="183" fontId="21" fillId="0" borderId="10" xfId="0" applyNumberFormat="1" applyFont="1" applyBorder="1" applyAlignment="1" applyProtection="1">
      <alignment horizontal="center"/>
      <protection locked="0"/>
    </xf>
    <xf numFmtId="2" fontId="21" fillId="0" borderId="54" xfId="0" applyNumberFormat="1" applyFont="1" applyBorder="1" applyAlignment="1" applyProtection="1">
      <alignment horizontal="center"/>
      <protection locked="0"/>
    </xf>
    <xf numFmtId="2" fontId="21" fillId="0" borderId="15" xfId="0" applyNumberFormat="1" applyFont="1" applyBorder="1" applyAlignment="1" applyProtection="1">
      <alignment horizontal="center"/>
      <protection locked="0"/>
    </xf>
    <xf numFmtId="2" fontId="21" fillId="0" borderId="55" xfId="0" applyNumberFormat="1" applyFont="1" applyBorder="1" applyAlignment="1" applyProtection="1">
      <alignment horizontal="center"/>
      <protection locked="0"/>
    </xf>
    <xf numFmtId="2" fontId="21" fillId="0" borderId="0" xfId="0" applyNumberFormat="1" applyFont="1" applyBorder="1" applyAlignment="1" applyProtection="1">
      <alignment horizontal="center"/>
      <protection locked="0"/>
    </xf>
    <xf numFmtId="2" fontId="21" fillId="0" borderId="28" xfId="0" applyNumberFormat="1" applyFont="1" applyBorder="1" applyAlignment="1" applyProtection="1">
      <alignment horizontal="center"/>
      <protection locked="0"/>
    </xf>
    <xf numFmtId="2" fontId="21" fillId="0" borderId="12" xfId="0" applyNumberFormat="1" applyFont="1" applyBorder="1" applyAlignment="1" applyProtection="1">
      <alignment horizontal="center"/>
      <protection locked="0"/>
    </xf>
    <xf numFmtId="2" fontId="21" fillId="0" borderId="10" xfId="0" applyNumberFormat="1" applyFont="1" applyBorder="1" applyAlignment="1" applyProtection="1">
      <alignment horizontal="center"/>
      <protection locked="0"/>
    </xf>
    <xf numFmtId="187" fontId="21" fillId="0" borderId="37" xfId="2" applyNumberFormat="1" applyFont="1" applyBorder="1" applyAlignment="1" applyProtection="1">
      <alignment horizontal="center"/>
      <protection locked="0"/>
    </xf>
    <xf numFmtId="184" fontId="21" fillId="0" borderId="3" xfId="0" applyNumberFormat="1" applyFont="1" applyBorder="1" applyAlignment="1" applyProtection="1">
      <alignment horizontal="center"/>
      <protection locked="0"/>
    </xf>
    <xf numFmtId="2" fontId="17" fillId="5" borderId="0" xfId="0" applyNumberFormat="1" applyFont="1" applyFill="1" applyBorder="1" applyProtection="1">
      <protection locked="0"/>
    </xf>
    <xf numFmtId="0" fontId="0" fillId="0" borderId="3" xfId="0" applyBorder="1" applyAlignment="1">
      <alignment horizontal="center"/>
    </xf>
    <xf numFmtId="0" fontId="21" fillId="0" borderId="36" xfId="0" applyFont="1" applyFill="1" applyBorder="1" applyAlignment="1" applyProtection="1">
      <alignment horizontal="left"/>
      <protection locked="0"/>
    </xf>
    <xf numFmtId="185" fontId="21" fillId="0" borderId="37" xfId="2" applyNumberFormat="1" applyFont="1" applyFill="1" applyBorder="1" applyAlignment="1" applyProtection="1">
      <alignment horizontal="center"/>
      <protection locked="0"/>
    </xf>
    <xf numFmtId="185" fontId="21" fillId="0" borderId="63" xfId="2" applyNumberFormat="1" applyFont="1" applyFill="1" applyBorder="1" applyAlignment="1" applyProtection="1">
      <alignment horizontal="center"/>
      <protection locked="0"/>
    </xf>
    <xf numFmtId="185" fontId="21" fillId="0" borderId="33" xfId="2" applyNumberFormat="1" applyFont="1" applyFill="1" applyBorder="1" applyAlignment="1" applyProtection="1">
      <alignment horizontal="center"/>
      <protection locked="0"/>
    </xf>
    <xf numFmtId="185" fontId="21" fillId="0" borderId="34" xfId="2" applyNumberFormat="1" applyFont="1" applyFill="1" applyBorder="1" applyAlignment="1" applyProtection="1">
      <alignment horizontal="center"/>
      <protection locked="0"/>
    </xf>
    <xf numFmtId="0" fontId="21" fillId="0" borderId="5" xfId="0" applyFont="1" applyFill="1" applyBorder="1" applyAlignment="1" applyProtection="1">
      <alignment horizontal="left"/>
      <protection locked="0"/>
    </xf>
    <xf numFmtId="185" fontId="21" fillId="0" borderId="4" xfId="2" applyNumberFormat="1" applyFont="1" applyFill="1" applyBorder="1" applyAlignment="1" applyProtection="1">
      <alignment horizontal="center"/>
      <protection locked="0"/>
    </xf>
    <xf numFmtId="185" fontId="21" fillId="0" borderId="64" xfId="2" applyNumberFormat="1" applyFont="1" applyFill="1" applyBorder="1" applyAlignment="1" applyProtection="1">
      <alignment horizontal="center"/>
      <protection locked="0"/>
    </xf>
    <xf numFmtId="185" fontId="21" fillId="0" borderId="39" xfId="2" applyNumberFormat="1" applyFont="1" applyFill="1" applyBorder="1" applyAlignment="1" applyProtection="1">
      <alignment horizontal="center"/>
      <protection locked="0"/>
    </xf>
    <xf numFmtId="185" fontId="21" fillId="0" borderId="40" xfId="2" applyNumberFormat="1" applyFont="1" applyFill="1" applyBorder="1" applyAlignment="1" applyProtection="1">
      <alignment horizontal="center"/>
      <protection locked="0"/>
    </xf>
    <xf numFmtId="184" fontId="21" fillId="0" borderId="37" xfId="2" applyNumberFormat="1" applyFont="1" applyBorder="1" applyAlignment="1" applyProtection="1">
      <alignment horizontal="center"/>
      <protection locked="0"/>
    </xf>
    <xf numFmtId="184" fontId="21" fillId="0" borderId="37" xfId="0" applyNumberFormat="1" applyFont="1" applyBorder="1" applyAlignment="1" applyProtection="1">
      <alignment horizontal="center"/>
      <protection locked="0"/>
    </xf>
    <xf numFmtId="2" fontId="21" fillId="0" borderId="37" xfId="0" applyNumberFormat="1" applyFont="1" applyBorder="1" applyAlignment="1" applyProtection="1">
      <alignment horizontal="center"/>
      <protection locked="0"/>
    </xf>
    <xf numFmtId="184" fontId="21" fillId="0" borderId="14" xfId="0" applyNumberFormat="1" applyFont="1" applyBorder="1" applyAlignment="1" applyProtection="1">
      <alignment horizontal="center"/>
      <protection locked="0"/>
    </xf>
    <xf numFmtId="184" fontId="21" fillId="0" borderId="13" xfId="0" applyNumberFormat="1" applyFont="1" applyBorder="1" applyAlignment="1" applyProtection="1">
      <alignment horizontal="center"/>
      <protection locked="0"/>
    </xf>
    <xf numFmtId="184" fontId="21" fillId="0" borderId="9" xfId="0" applyNumberFormat="1" applyFont="1" applyBorder="1" applyAlignment="1" applyProtection="1">
      <alignment horizontal="center"/>
      <protection locked="0"/>
    </xf>
    <xf numFmtId="184" fontId="21" fillId="5" borderId="9" xfId="0" applyNumberFormat="1" applyFont="1" applyFill="1" applyBorder="1" applyAlignment="1" applyProtection="1">
      <alignment horizontal="center"/>
      <protection locked="0"/>
    </xf>
    <xf numFmtId="184" fontId="21" fillId="5" borderId="3" xfId="0" applyNumberFormat="1" applyFont="1" applyFill="1" applyBorder="1" applyAlignment="1" applyProtection="1">
      <alignment horizontal="center"/>
      <protection locked="0"/>
    </xf>
    <xf numFmtId="184" fontId="21" fillId="0" borderId="37" xfId="0" applyNumberFormat="1" applyFont="1" applyFill="1" applyBorder="1" applyAlignment="1" applyProtection="1">
      <alignment horizontal="center"/>
      <protection locked="0"/>
    </xf>
    <xf numFmtId="0" fontId="21" fillId="0" borderId="37" xfId="0" applyFont="1" applyBorder="1" applyAlignment="1" applyProtection="1">
      <alignment horizontal="center"/>
      <protection locked="0"/>
    </xf>
    <xf numFmtId="0" fontId="0" fillId="0" borderId="37" xfId="0" applyBorder="1" applyAlignment="1" applyProtection="1">
      <alignment horizontal="center"/>
      <protection locked="0"/>
    </xf>
    <xf numFmtId="0" fontId="0" fillId="0" borderId="0" xfId="0" applyProtection="1"/>
    <xf numFmtId="184" fontId="21" fillId="0" borderId="59" xfId="4" applyNumberFormat="1" applyFont="1" applyFill="1" applyBorder="1" applyAlignment="1" applyProtection="1">
      <alignment vertical="center"/>
      <protection locked="0"/>
    </xf>
    <xf numFmtId="1" fontId="21" fillId="0" borderId="59" xfId="4" applyNumberFormat="1" applyFont="1" applyFill="1" applyBorder="1" applyAlignment="1" applyProtection="1">
      <alignment vertical="center"/>
      <protection locked="0"/>
    </xf>
    <xf numFmtId="184" fontId="21" fillId="0" borderId="20" xfId="4" applyNumberFormat="1" applyFont="1" applyFill="1" applyBorder="1" applyAlignment="1" applyProtection="1">
      <alignment vertical="center"/>
      <protection locked="0"/>
    </xf>
    <xf numFmtId="3" fontId="21" fillId="0" borderId="58" xfId="4" applyNumberFormat="1" applyFont="1" applyFill="1" applyBorder="1" applyAlignment="1" applyProtection="1">
      <alignment horizontal="center" vertical="center"/>
      <protection locked="0"/>
    </xf>
    <xf numFmtId="192" fontId="21" fillId="0" borderId="0" xfId="4" applyNumberFormat="1" applyFont="1" applyFill="1" applyBorder="1" applyAlignment="1" applyProtection="1">
      <alignment vertical="center"/>
      <protection locked="0"/>
    </xf>
    <xf numFmtId="3" fontId="21" fillId="0" borderId="0" xfId="4" applyNumberFormat="1" applyFont="1" applyFill="1" applyBorder="1" applyAlignment="1" applyProtection="1">
      <alignment vertical="center"/>
      <protection locked="0"/>
    </xf>
    <xf numFmtId="3" fontId="21" fillId="0" borderId="22" xfId="4" applyNumberFormat="1" applyFont="1" applyFill="1" applyBorder="1" applyAlignment="1" applyProtection="1">
      <alignment vertical="center"/>
      <protection locked="0"/>
    </xf>
    <xf numFmtId="0" fontId="29" fillId="0" borderId="0" xfId="4" applyProtection="1"/>
    <xf numFmtId="0" fontId="17" fillId="4" borderId="37" xfId="4" applyFont="1" applyFill="1" applyBorder="1" applyAlignment="1" applyProtection="1">
      <alignment horizontal="center"/>
    </xf>
    <xf numFmtId="0" fontId="17" fillId="0" borderId="37" xfId="4" applyFont="1" applyBorder="1" applyAlignment="1" applyProtection="1">
      <alignment horizontal="center"/>
    </xf>
    <xf numFmtId="192" fontId="21" fillId="0" borderId="21" xfId="4" applyNumberFormat="1" applyFont="1" applyFill="1" applyBorder="1" applyAlignment="1" applyProtection="1">
      <alignment vertical="center"/>
    </xf>
    <xf numFmtId="192" fontId="17" fillId="0" borderId="46" xfId="4" applyNumberFormat="1" applyFont="1" applyFill="1" applyBorder="1" applyAlignment="1" applyProtection="1">
      <alignment horizontal="center" vertical="center"/>
    </xf>
    <xf numFmtId="184" fontId="21" fillId="2" borderId="58" xfId="4" applyNumberFormat="1" applyFont="1" applyFill="1" applyBorder="1" applyAlignment="1" applyProtection="1">
      <alignment horizontal="center" vertical="center"/>
    </xf>
    <xf numFmtId="184" fontId="21" fillId="2" borderId="60" xfId="4" applyNumberFormat="1" applyFont="1" applyFill="1" applyBorder="1" applyAlignment="1" applyProtection="1">
      <alignment horizontal="center" vertical="center"/>
    </xf>
    <xf numFmtId="0" fontId="29" fillId="0" borderId="59" xfId="4" applyBorder="1" applyProtection="1"/>
    <xf numFmtId="0" fontId="29" fillId="0" borderId="0" xfId="4" applyBorder="1" applyProtection="1"/>
    <xf numFmtId="184" fontId="17" fillId="0" borderId="59" xfId="4" applyNumberFormat="1" applyFont="1" applyBorder="1" applyAlignment="1" applyProtection="1">
      <alignment horizontal="center"/>
    </xf>
    <xf numFmtId="0" fontId="40" fillId="0" borderId="20" xfId="4" applyFont="1" applyBorder="1" applyProtection="1"/>
    <xf numFmtId="0" fontId="29" fillId="0" borderId="22" xfId="4" applyBorder="1" applyProtection="1"/>
    <xf numFmtId="184" fontId="17" fillId="0" borderId="20" xfId="4" applyNumberFormat="1" applyFont="1" applyBorder="1" applyAlignment="1" applyProtection="1">
      <alignment horizontal="center"/>
    </xf>
    <xf numFmtId="184" fontId="51" fillId="0" borderId="59" xfId="4" applyNumberFormat="1" applyFont="1" applyBorder="1" applyAlignment="1" applyProtection="1">
      <alignment horizontal="center"/>
    </xf>
    <xf numFmtId="184" fontId="42" fillId="0" borderId="20" xfId="4" applyNumberFormat="1" applyFont="1" applyBorder="1" applyAlignment="1" applyProtection="1">
      <alignment horizontal="center"/>
    </xf>
    <xf numFmtId="2" fontId="23" fillId="0" borderId="34" xfId="0" applyNumberFormat="1" applyFont="1" applyBorder="1" applyAlignment="1" applyProtection="1">
      <alignment horizontal="center"/>
      <protection locked="0"/>
    </xf>
    <xf numFmtId="2" fontId="23" fillId="0" borderId="37" xfId="0" applyNumberFormat="1" applyFont="1" applyBorder="1" applyAlignment="1" applyProtection="1">
      <alignment horizontal="center"/>
      <protection locked="0"/>
    </xf>
    <xf numFmtId="0" fontId="23" fillId="0" borderId="37" xfId="0" applyFont="1" applyBorder="1" applyAlignment="1" applyProtection="1">
      <alignment horizontal="center"/>
      <protection locked="0"/>
    </xf>
    <xf numFmtId="2" fontId="21" fillId="0" borderId="34" xfId="0" applyNumberFormat="1" applyFont="1" applyBorder="1" applyAlignment="1" applyProtection="1">
      <alignment horizontal="center"/>
      <protection locked="0"/>
    </xf>
    <xf numFmtId="0" fontId="24" fillId="0" borderId="13" xfId="0" applyFont="1" applyBorder="1" applyAlignment="1" applyProtection="1">
      <alignment horizontal="center"/>
      <protection locked="0"/>
    </xf>
    <xf numFmtId="0" fontId="24" fillId="0" borderId="10" xfId="0" applyFont="1" applyBorder="1" applyAlignment="1" applyProtection="1">
      <alignment horizontal="center"/>
      <protection locked="0"/>
    </xf>
    <xf numFmtId="0" fontId="3" fillId="0" borderId="37" xfId="0" applyFont="1" applyBorder="1" applyAlignment="1" applyProtection="1">
      <alignment horizontal="center"/>
      <protection locked="0"/>
    </xf>
    <xf numFmtId="4" fontId="21" fillId="0" borderId="0" xfId="4" applyNumberFormat="1" applyFont="1" applyFill="1" applyBorder="1" applyAlignment="1" applyProtection="1">
      <alignment horizontal="right" vertical="center"/>
      <protection locked="0"/>
    </xf>
    <xf numFmtId="0" fontId="62" fillId="0" borderId="20" xfId="4" applyFont="1" applyFill="1" applyBorder="1" applyAlignment="1" applyProtection="1">
      <alignment vertical="center"/>
    </xf>
    <xf numFmtId="0" fontId="62" fillId="0" borderId="22" xfId="4" applyFont="1" applyFill="1" applyBorder="1" applyAlignment="1" applyProtection="1">
      <alignment vertical="center"/>
    </xf>
    <xf numFmtId="2" fontId="62" fillId="0" borderId="22" xfId="4" applyNumberFormat="1" applyFont="1" applyFill="1" applyBorder="1" applyAlignment="1" applyProtection="1">
      <alignment horizontal="center" vertical="center"/>
    </xf>
    <xf numFmtId="2" fontId="62" fillId="0" borderId="6" xfId="4" applyNumberFormat="1" applyFont="1" applyFill="1" applyBorder="1" applyAlignment="1" applyProtection="1">
      <alignment horizontal="center" vertical="center"/>
    </xf>
    <xf numFmtId="2" fontId="62" fillId="0" borderId="20" xfId="4" applyNumberFormat="1" applyFont="1" applyFill="1" applyBorder="1" applyAlignment="1" applyProtection="1">
      <alignment horizontal="center" vertical="center"/>
    </xf>
    <xf numFmtId="3" fontId="62" fillId="0" borderId="22" xfId="4" applyNumberFormat="1" applyFont="1" applyFill="1" applyBorder="1" applyAlignment="1" applyProtection="1">
      <alignment horizontal="center" vertical="center"/>
    </xf>
    <xf numFmtId="0" fontId="62" fillId="0" borderId="6" xfId="4" applyFont="1" applyFill="1" applyBorder="1" applyAlignment="1" applyProtection="1">
      <alignment horizontal="left" vertical="center"/>
    </xf>
    <xf numFmtId="3" fontId="21" fillId="0" borderId="59" xfId="4" applyNumberFormat="1" applyFont="1" applyFill="1" applyBorder="1" applyAlignment="1" applyProtection="1">
      <alignment horizontal="right" vertical="center"/>
    </xf>
    <xf numFmtId="192" fontId="21" fillId="0" borderId="59" xfId="4" applyNumberFormat="1" applyFont="1" applyFill="1" applyBorder="1" applyAlignment="1" applyProtection="1">
      <alignment horizontal="right" vertical="center"/>
    </xf>
    <xf numFmtId="184" fontId="21" fillId="0" borderId="59" xfId="4" applyNumberFormat="1" applyFont="1" applyFill="1" applyBorder="1" applyAlignment="1" applyProtection="1">
      <alignment vertical="center"/>
    </xf>
    <xf numFmtId="1" fontId="21" fillId="0" borderId="59" xfId="4" applyNumberFormat="1" applyFont="1" applyFill="1" applyBorder="1" applyAlignment="1" applyProtection="1">
      <alignment vertical="center"/>
    </xf>
    <xf numFmtId="3" fontId="21" fillId="0" borderId="0" xfId="4" applyNumberFormat="1" applyFont="1" applyFill="1" applyBorder="1" applyAlignment="1" applyProtection="1">
      <alignment horizontal="right" vertical="center"/>
    </xf>
    <xf numFmtId="192" fontId="21" fillId="0" borderId="0" xfId="4" applyNumberFormat="1" applyFont="1" applyFill="1" applyBorder="1" applyAlignment="1" applyProtection="1">
      <alignment horizontal="right" vertical="center"/>
    </xf>
    <xf numFmtId="192" fontId="21" fillId="0" borderId="0" xfId="4" applyNumberFormat="1" applyFont="1" applyFill="1" applyBorder="1" applyAlignment="1" applyProtection="1">
      <alignment vertical="center"/>
    </xf>
    <xf numFmtId="3" fontId="21" fillId="0" borderId="0" xfId="4" applyNumberFormat="1" applyFont="1" applyFill="1" applyBorder="1" applyAlignment="1" applyProtection="1">
      <alignment vertical="center"/>
    </xf>
    <xf numFmtId="0" fontId="20" fillId="0" borderId="0" xfId="4" applyFont="1" applyFill="1" applyAlignment="1" applyProtection="1">
      <alignment horizontal="center" vertical="center"/>
    </xf>
    <xf numFmtId="0" fontId="21" fillId="0" borderId="37" xfId="4" applyFont="1" applyFill="1" applyBorder="1" applyAlignment="1" applyProtection="1">
      <alignment horizontal="center" vertical="center"/>
      <protection locked="0"/>
    </xf>
    <xf numFmtId="3" fontId="21" fillId="0" borderId="37" xfId="4" applyNumberFormat="1" applyFont="1" applyFill="1" applyBorder="1" applyAlignment="1" applyProtection="1">
      <alignment horizontal="center" vertical="center"/>
      <protection locked="0"/>
    </xf>
    <xf numFmtId="0" fontId="54" fillId="0" borderId="0" xfId="4" applyFont="1" applyFill="1" applyAlignment="1" applyProtection="1">
      <alignment vertical="center"/>
    </xf>
    <xf numFmtId="184" fontId="9" fillId="0" borderId="3" xfId="0" applyNumberFormat="1" applyFont="1" applyBorder="1" applyAlignment="1" applyProtection="1">
      <alignment horizontal="center"/>
    </xf>
    <xf numFmtId="184" fontId="21" fillId="0" borderId="11" xfId="0" applyNumberFormat="1" applyFont="1" applyBorder="1" applyAlignment="1" applyProtection="1">
      <alignment horizontal="center"/>
      <protection locked="0"/>
    </xf>
    <xf numFmtId="182" fontId="5" fillId="2" borderId="65" xfId="0" applyNumberFormat="1" applyFont="1" applyFill="1" applyBorder="1" applyAlignment="1">
      <alignment horizontal="center"/>
    </xf>
    <xf numFmtId="182" fontId="5" fillId="2" borderId="8" xfId="0" applyNumberFormat="1" applyFont="1" applyFill="1" applyBorder="1" applyAlignment="1">
      <alignment horizontal="center"/>
    </xf>
    <xf numFmtId="182" fontId="5" fillId="2" borderId="66" xfId="0" applyNumberFormat="1" applyFont="1" applyFill="1" applyBorder="1" applyAlignment="1">
      <alignment horizontal="center"/>
    </xf>
    <xf numFmtId="182" fontId="5" fillId="2" borderId="9" xfId="0" applyNumberFormat="1" applyFont="1" applyFill="1" applyBorder="1" applyAlignment="1">
      <alignment horizontal="center"/>
    </xf>
    <xf numFmtId="182" fontId="5" fillId="2" borderId="3" xfId="0" applyNumberFormat="1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55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21" fillId="0" borderId="30" xfId="0" applyFont="1" applyFill="1" applyBorder="1" applyAlignment="1" applyProtection="1">
      <alignment horizontal="left"/>
      <protection locked="0"/>
    </xf>
    <xf numFmtId="185" fontId="21" fillId="0" borderId="11" xfId="2" applyNumberFormat="1" applyFont="1" applyFill="1" applyBorder="1" applyAlignment="1" applyProtection="1">
      <alignment horizontal="center"/>
      <protection locked="0"/>
    </xf>
    <xf numFmtId="185" fontId="21" fillId="0" borderId="67" xfId="2" applyNumberFormat="1" applyFont="1" applyFill="1" applyBorder="1" applyAlignment="1" applyProtection="1">
      <alignment horizontal="center"/>
      <protection locked="0"/>
    </xf>
    <xf numFmtId="185" fontId="21" fillId="0" borderId="10" xfId="2" applyNumberFormat="1" applyFont="1" applyFill="1" applyBorder="1" applyAlignment="1" applyProtection="1">
      <alignment horizontal="center"/>
      <protection locked="0"/>
    </xf>
    <xf numFmtId="185" fontId="21" fillId="0" borderId="28" xfId="2" applyNumberFormat="1" applyFont="1" applyFill="1" applyBorder="1" applyAlignment="1" applyProtection="1">
      <alignment horizontal="center"/>
      <protection locked="0"/>
    </xf>
    <xf numFmtId="182" fontId="5" fillId="4" borderId="48" xfId="0" applyNumberFormat="1" applyFont="1" applyFill="1" applyBorder="1" applyAlignment="1">
      <alignment horizontal="center"/>
    </xf>
    <xf numFmtId="0" fontId="7" fillId="4" borderId="48" xfId="0" applyFont="1" applyFill="1" applyBorder="1" applyAlignment="1">
      <alignment horizontal="center"/>
    </xf>
    <xf numFmtId="0" fontId="7" fillId="4" borderId="49" xfId="0" applyFont="1" applyFill="1" applyBorder="1" applyAlignment="1">
      <alignment horizontal="center"/>
    </xf>
    <xf numFmtId="0" fontId="21" fillId="0" borderId="68" xfId="0" applyFont="1" applyFill="1" applyBorder="1" applyAlignment="1" applyProtection="1">
      <alignment horizontal="left"/>
      <protection locked="0"/>
    </xf>
    <xf numFmtId="185" fontId="21" fillId="0" borderId="14" xfId="2" applyNumberFormat="1" applyFont="1" applyFill="1" applyBorder="1" applyAlignment="1" applyProtection="1">
      <alignment horizontal="center"/>
      <protection locked="0"/>
    </xf>
    <xf numFmtId="185" fontId="21" fillId="0" borderId="69" xfId="2" applyNumberFormat="1" applyFont="1" applyFill="1" applyBorder="1" applyAlignment="1" applyProtection="1">
      <alignment horizontal="center"/>
      <protection locked="0"/>
    </xf>
    <xf numFmtId="185" fontId="21" fillId="0" borderId="13" xfId="2" applyNumberFormat="1" applyFont="1" applyFill="1" applyBorder="1" applyAlignment="1" applyProtection="1">
      <alignment horizontal="center"/>
      <protection locked="0"/>
    </xf>
    <xf numFmtId="185" fontId="21" fillId="0" borderId="54" xfId="2" applyNumberFormat="1" applyFont="1" applyFill="1" applyBorder="1" applyAlignment="1" applyProtection="1">
      <alignment horizontal="center"/>
      <protection locked="0"/>
    </xf>
    <xf numFmtId="0" fontId="3" fillId="8" borderId="44" xfId="0" applyFont="1" applyFill="1" applyBorder="1" applyAlignment="1">
      <alignment horizontal="left"/>
    </xf>
    <xf numFmtId="0" fontId="3" fillId="8" borderId="49" xfId="0" applyFont="1" applyFill="1" applyBorder="1"/>
    <xf numFmtId="0" fontId="0" fillId="4" borderId="0" xfId="0" applyFill="1"/>
    <xf numFmtId="0" fontId="5" fillId="4" borderId="47" xfId="0" applyFont="1" applyFill="1" applyBorder="1" applyAlignment="1">
      <alignment horizontal="left"/>
    </xf>
    <xf numFmtId="185" fontId="66" fillId="9" borderId="58" xfId="2" applyNumberFormat="1" applyFont="1" applyFill="1" applyBorder="1" applyAlignment="1" applyProtection="1">
      <alignment horizontal="center"/>
      <protection locked="0"/>
    </xf>
    <xf numFmtId="2" fontId="3" fillId="0" borderId="37" xfId="0" applyNumberFormat="1" applyFont="1" applyBorder="1" applyAlignment="1" applyProtection="1">
      <alignment horizontal="center"/>
    </xf>
    <xf numFmtId="0" fontId="5" fillId="4" borderId="48" xfId="0" applyFont="1" applyFill="1" applyBorder="1"/>
    <xf numFmtId="185" fontId="65" fillId="4" borderId="44" xfId="2" applyNumberFormat="1" applyFont="1" applyFill="1" applyBorder="1" applyAlignment="1">
      <alignment horizontal="center"/>
    </xf>
    <xf numFmtId="0" fontId="0" fillId="2" borderId="70" xfId="0" applyFill="1" applyBorder="1" applyAlignment="1">
      <alignment horizontal="center"/>
    </xf>
    <xf numFmtId="0" fontId="0" fillId="2" borderId="2" xfId="0" applyFill="1" applyBorder="1" applyAlignment="1" applyProtection="1">
      <alignment horizontal="center"/>
    </xf>
    <xf numFmtId="185" fontId="21" fillId="0" borderId="48" xfId="2" applyNumberFormat="1" applyFont="1" applyFill="1" applyBorder="1" applyAlignment="1" applyProtection="1">
      <alignment horizontal="center"/>
    </xf>
    <xf numFmtId="185" fontId="21" fillId="0" borderId="49" xfId="2" applyNumberFormat="1" applyFont="1" applyFill="1" applyBorder="1" applyAlignment="1" applyProtection="1">
      <alignment horizontal="center"/>
    </xf>
    <xf numFmtId="184" fontId="10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182" fontId="19" fillId="4" borderId="47" xfId="0" applyNumberFormat="1" applyFont="1" applyFill="1" applyBorder="1" applyAlignment="1">
      <alignment horizontal="left"/>
    </xf>
    <xf numFmtId="182" fontId="19" fillId="4" borderId="47" xfId="0" applyNumberFormat="1" applyFont="1" applyFill="1" applyBorder="1" applyAlignment="1" applyProtection="1">
      <alignment horizontal="left"/>
    </xf>
    <xf numFmtId="0" fontId="17" fillId="0" borderId="0" xfId="4" applyFont="1" applyFill="1" applyAlignment="1" applyProtection="1">
      <alignment vertical="center"/>
    </xf>
    <xf numFmtId="184" fontId="3" fillId="9" borderId="0" xfId="0" applyNumberFormat="1" applyFont="1" applyFill="1" applyBorder="1" applyAlignment="1">
      <alignment horizontal="center"/>
    </xf>
    <xf numFmtId="2" fontId="10" fillId="0" borderId="0" xfId="0" applyNumberFormat="1" applyFont="1" applyBorder="1" applyAlignment="1">
      <alignment horizontal="left"/>
    </xf>
    <xf numFmtId="184" fontId="17" fillId="0" borderId="22" xfId="4" applyNumberFormat="1" applyFont="1" applyFill="1" applyBorder="1" applyAlignment="1" applyProtection="1">
      <alignment vertical="center"/>
    </xf>
    <xf numFmtId="182" fontId="0" fillId="0" borderId="9" xfId="0" applyNumberFormat="1" applyBorder="1"/>
    <xf numFmtId="0" fontId="10" fillId="0" borderId="0" xfId="0" applyFont="1" applyAlignment="1">
      <alignment horizontal="right"/>
    </xf>
    <xf numFmtId="2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67" fillId="0" borderId="0" xfId="0" applyFont="1"/>
    <xf numFmtId="0" fontId="3" fillId="0" borderId="33" xfId="0" applyFont="1" applyBorder="1" applyAlignment="1" applyProtection="1">
      <alignment horizontal="center"/>
    </xf>
    <xf numFmtId="2" fontId="28" fillId="0" borderId="10" xfId="0" applyNumberFormat="1" applyFont="1" applyBorder="1" applyAlignment="1" applyProtection="1">
      <alignment horizontal="center"/>
    </xf>
    <xf numFmtId="1" fontId="3" fillId="0" borderId="37" xfId="0" applyNumberFormat="1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2" fontId="70" fillId="0" borderId="0" xfId="0" applyNumberFormat="1" applyFont="1" applyAlignment="1">
      <alignment horizontal="center"/>
    </xf>
    <xf numFmtId="2" fontId="70" fillId="0" borderId="0" xfId="0" applyNumberFormat="1" applyFont="1" applyAlignment="1" applyProtection="1">
      <alignment horizontal="center"/>
    </xf>
    <xf numFmtId="187" fontId="0" fillId="0" borderId="37" xfId="2" applyNumberFormat="1" applyFont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2" fontId="0" fillId="5" borderId="14" xfId="0" applyNumberFormat="1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9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20" fontId="5" fillId="5" borderId="34" xfId="0" applyNumberFormat="1" applyFont="1" applyFill="1" applyBorder="1" applyAlignment="1">
      <alignment horizontal="center"/>
    </xf>
    <xf numFmtId="2" fontId="5" fillId="5" borderId="37" xfId="0" applyNumberFormat="1" applyFont="1" applyFill="1" applyBorder="1" applyAlignment="1">
      <alignment horizontal="center"/>
    </xf>
    <xf numFmtId="3" fontId="5" fillId="5" borderId="34" xfId="0" applyNumberFormat="1" applyFont="1" applyFill="1" applyBorder="1" applyAlignment="1">
      <alignment horizontal="center"/>
    </xf>
    <xf numFmtId="192" fontId="5" fillId="5" borderId="33" xfId="0" applyNumberFormat="1" applyFont="1" applyFill="1" applyBorder="1" applyAlignment="1">
      <alignment horizontal="center"/>
    </xf>
    <xf numFmtId="3" fontId="3" fillId="0" borderId="56" xfId="0" applyNumberFormat="1" applyFont="1" applyBorder="1" applyAlignment="1">
      <alignment horizontal="center"/>
    </xf>
    <xf numFmtId="196" fontId="3" fillId="0" borderId="33" xfId="6" applyNumberFormat="1" applyFont="1" applyBorder="1" applyAlignment="1">
      <alignment horizontal="center"/>
    </xf>
    <xf numFmtId="3" fontId="3" fillId="0" borderId="33" xfId="0" applyNumberFormat="1" applyFont="1" applyBorder="1" applyAlignment="1">
      <alignment horizontal="center"/>
    </xf>
    <xf numFmtId="20" fontId="0" fillId="0" borderId="55" xfId="0" applyNumberFormat="1" applyBorder="1" applyAlignment="1">
      <alignment horizontal="center"/>
    </xf>
    <xf numFmtId="3" fontId="0" fillId="0" borderId="55" xfId="0" applyNumberFormat="1" applyBorder="1" applyAlignment="1">
      <alignment horizontal="center"/>
    </xf>
    <xf numFmtId="1" fontId="0" fillId="0" borderId="0" xfId="0" applyNumberFormat="1"/>
    <xf numFmtId="3" fontId="31" fillId="0" borderId="0" xfId="0" applyNumberFormat="1" applyFont="1" applyBorder="1" applyAlignment="1">
      <alignment horizontal="center"/>
    </xf>
    <xf numFmtId="3" fontId="31" fillId="0" borderId="55" xfId="0" applyNumberFormat="1" applyFont="1" applyBorder="1" applyAlignment="1">
      <alignment horizontal="center"/>
    </xf>
    <xf numFmtId="20" fontId="3" fillId="0" borderId="34" xfId="0" applyNumberFormat="1" applyFont="1" applyBorder="1" applyAlignment="1">
      <alignment horizontal="center"/>
    </xf>
    <xf numFmtId="2" fontId="3" fillId="0" borderId="33" xfId="0" applyNumberFormat="1" applyFont="1" applyBorder="1" applyAlignment="1">
      <alignment horizontal="center"/>
    </xf>
    <xf numFmtId="3" fontId="3" fillId="0" borderId="34" xfId="0" applyNumberFormat="1" applyFont="1" applyBorder="1" applyAlignment="1">
      <alignment horizontal="center"/>
    </xf>
    <xf numFmtId="20" fontId="21" fillId="0" borderId="55" xfId="0" applyNumberFormat="1" applyFont="1" applyBorder="1" applyAlignment="1" applyProtection="1">
      <alignment horizontal="center"/>
      <protection locked="0"/>
    </xf>
    <xf numFmtId="3" fontId="21" fillId="0" borderId="55" xfId="0" applyNumberFormat="1" applyFont="1" applyBorder="1" applyAlignment="1" applyProtection="1">
      <alignment horizontal="center"/>
      <protection locked="0"/>
    </xf>
    <xf numFmtId="192" fontId="21" fillId="0" borderId="3" xfId="0" applyNumberFormat="1" applyFont="1" applyBorder="1" applyAlignment="1" applyProtection="1">
      <alignment horizontal="center"/>
      <protection locked="0"/>
    </xf>
    <xf numFmtId="192" fontId="21" fillId="0" borderId="11" xfId="0" applyNumberFormat="1" applyFont="1" applyBorder="1" applyAlignment="1" applyProtection="1">
      <alignment horizontal="center"/>
      <protection locked="0"/>
    </xf>
    <xf numFmtId="0" fontId="72" fillId="4" borderId="0" xfId="4" applyFont="1" applyFill="1" applyAlignment="1" applyProtection="1">
      <alignment vertical="center"/>
    </xf>
    <xf numFmtId="184" fontId="0" fillId="0" borderId="0" xfId="0" applyNumberFormat="1" applyProtection="1">
      <protection locked="0"/>
    </xf>
    <xf numFmtId="187" fontId="73" fillId="0" borderId="0" xfId="2" applyNumberFormat="1" applyFont="1" applyFill="1" applyAlignment="1" applyProtection="1">
      <alignment vertical="center"/>
    </xf>
    <xf numFmtId="2" fontId="3" fillId="5" borderId="0" xfId="0" applyNumberFormat="1" applyFont="1" applyFill="1" applyAlignment="1">
      <alignment horizontal="center"/>
    </xf>
    <xf numFmtId="184" fontId="21" fillId="9" borderId="13" xfId="0" applyNumberFormat="1" applyFont="1" applyFill="1" applyBorder="1" applyAlignment="1">
      <alignment horizontal="center"/>
    </xf>
    <xf numFmtId="3" fontId="0" fillId="0" borderId="0" xfId="0" applyNumberFormat="1"/>
    <xf numFmtId="0" fontId="75" fillId="0" borderId="0" xfId="0" applyFont="1"/>
    <xf numFmtId="0" fontId="74" fillId="0" borderId="0" xfId="0" applyFont="1" applyProtection="1">
      <protection locked="0"/>
    </xf>
    <xf numFmtId="0" fontId="76" fillId="4" borderId="0" xfId="4" applyFont="1" applyFill="1" applyBorder="1" applyAlignment="1" applyProtection="1">
      <alignment horizontal="left" vertical="center"/>
    </xf>
    <xf numFmtId="2" fontId="50" fillId="4" borderId="0" xfId="4" applyNumberFormat="1" applyFont="1" applyFill="1" applyBorder="1" applyAlignment="1" applyProtection="1">
      <alignment horizontal="left" vertical="center"/>
    </xf>
    <xf numFmtId="184" fontId="21" fillId="0" borderId="55" xfId="0" applyNumberFormat="1" applyFont="1" applyBorder="1"/>
    <xf numFmtId="2" fontId="3" fillId="9" borderId="15" xfId="0" applyNumberFormat="1" applyFont="1" applyFill="1" applyBorder="1" applyAlignment="1">
      <alignment horizontal="center"/>
    </xf>
    <xf numFmtId="20" fontId="21" fillId="0" borderId="37" xfId="0" applyNumberFormat="1" applyFont="1" applyBorder="1" applyAlignment="1" applyProtection="1">
      <alignment horizontal="center"/>
      <protection locked="0"/>
    </xf>
    <xf numFmtId="20" fontId="21" fillId="0" borderId="0" xfId="0" applyNumberFormat="1" applyFont="1" applyBorder="1" applyAlignment="1" applyProtection="1">
      <alignment horizontal="center"/>
      <protection locked="0"/>
    </xf>
    <xf numFmtId="3" fontId="21" fillId="0" borderId="0" xfId="0" applyNumberFormat="1" applyFont="1" applyBorder="1" applyAlignment="1" applyProtection="1">
      <alignment horizontal="center"/>
      <protection locked="0"/>
    </xf>
    <xf numFmtId="3" fontId="3" fillId="0" borderId="37" xfId="0" applyNumberFormat="1" applyFont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184" fontId="74" fillId="0" borderId="37" xfId="0" applyNumberFormat="1" applyFont="1" applyBorder="1" applyAlignment="1" applyProtection="1">
      <alignment horizontal="center"/>
      <protection locked="0"/>
    </xf>
    <xf numFmtId="0" fontId="50" fillId="0" borderId="0" xfId="4" applyFont="1" applyFill="1" applyAlignment="1" applyProtection="1">
      <alignment vertical="center"/>
    </xf>
    <xf numFmtId="0" fontId="50" fillId="0" borderId="0" xfId="4" applyFont="1" applyFill="1" applyAlignment="1" applyProtection="1">
      <alignment horizontal="center" vertical="center"/>
    </xf>
    <xf numFmtId="9" fontId="36" fillId="0" borderId="37" xfId="4" applyNumberFormat="1" applyFont="1" applyFill="1" applyBorder="1" applyAlignment="1" applyProtection="1">
      <alignment horizontal="center" vertical="center"/>
    </xf>
    <xf numFmtId="9" fontId="35" fillId="0" borderId="37" xfId="6" applyFont="1" applyFill="1" applyBorder="1" applyAlignment="1" applyProtection="1">
      <alignment horizontal="center" vertical="center"/>
      <protection locked="0"/>
    </xf>
    <xf numFmtId="9" fontId="77" fillId="0" borderId="0" xfId="4" applyNumberFormat="1" applyFont="1" applyFill="1" applyAlignment="1" applyProtection="1">
      <alignment horizontal="center" vertical="center"/>
    </xf>
    <xf numFmtId="9" fontId="36" fillId="0" borderId="37" xfId="6" applyFont="1" applyFill="1" applyBorder="1" applyAlignment="1" applyProtection="1">
      <alignment horizontal="center" vertical="center"/>
      <protection locked="0"/>
    </xf>
    <xf numFmtId="0" fontId="20" fillId="0" borderId="0" xfId="4" applyFont="1" applyFill="1" applyAlignment="1" applyProtection="1">
      <alignment vertical="center"/>
    </xf>
    <xf numFmtId="0" fontId="17" fillId="0" borderId="0" xfId="4" applyFont="1" applyFill="1" applyAlignment="1" applyProtection="1">
      <alignment vertical="center"/>
      <protection locked="0"/>
    </xf>
    <xf numFmtId="0" fontId="78" fillId="0" borderId="0" xfId="3" applyFont="1" applyFill="1" applyBorder="1" applyAlignment="1" applyProtection="1">
      <alignment vertical="center"/>
    </xf>
    <xf numFmtId="3" fontId="78" fillId="0" borderId="0" xfId="3" applyNumberFormat="1" applyFont="1" applyFill="1" applyBorder="1" applyAlignment="1" applyProtection="1">
      <alignment horizontal="right" vertical="center"/>
    </xf>
    <xf numFmtId="184" fontId="78" fillId="0" borderId="0" xfId="3" applyNumberFormat="1" applyFont="1" applyFill="1" applyBorder="1" applyAlignment="1" applyProtection="1">
      <alignment horizontal="right" vertical="center"/>
    </xf>
    <xf numFmtId="0" fontId="25" fillId="0" borderId="0" xfId="0" applyFont="1"/>
    <xf numFmtId="184" fontId="0" fillId="0" borderId="14" xfId="0" applyNumberFormat="1" applyBorder="1" applyAlignment="1">
      <alignment horizontal="center"/>
    </xf>
    <xf numFmtId="192" fontId="21" fillId="0" borderId="37" xfId="0" applyNumberFormat="1" applyFont="1" applyBorder="1" applyAlignment="1" applyProtection="1">
      <alignment horizontal="center"/>
      <protection locked="0"/>
    </xf>
    <xf numFmtId="3" fontId="0" fillId="0" borderId="34" xfId="0" applyNumberFormat="1" applyBorder="1" applyAlignment="1">
      <alignment horizontal="center"/>
    </xf>
    <xf numFmtId="3" fontId="0" fillId="0" borderId="37" xfId="0" applyNumberFormat="1" applyBorder="1" applyAlignment="1">
      <alignment horizontal="center"/>
    </xf>
    <xf numFmtId="184" fontId="79" fillId="0" borderId="0" xfId="3" applyNumberFormat="1" applyFont="1" applyFill="1" applyBorder="1" applyAlignment="1" applyProtection="1">
      <alignment vertical="center"/>
    </xf>
    <xf numFmtId="184" fontId="78" fillId="0" borderId="0" xfId="3" applyNumberFormat="1" applyFont="1" applyFill="1" applyBorder="1" applyAlignment="1" applyProtection="1">
      <alignment vertical="center"/>
    </xf>
    <xf numFmtId="3" fontId="0" fillId="0" borderId="54" xfId="0" applyNumberFormat="1" applyBorder="1" applyAlignment="1">
      <alignment horizontal="center"/>
    </xf>
    <xf numFmtId="3" fontId="0" fillId="0" borderId="28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5" fillId="5" borderId="37" xfId="0" applyNumberFormat="1" applyFont="1" applyFill="1" applyBorder="1" applyAlignment="1">
      <alignment horizontal="center"/>
    </xf>
    <xf numFmtId="0" fontId="9" fillId="5" borderId="15" xfId="0" applyFont="1" applyFill="1" applyBorder="1" applyAlignment="1">
      <alignment horizontal="center"/>
    </xf>
    <xf numFmtId="0" fontId="9" fillId="5" borderId="14" xfId="0" applyFont="1" applyFill="1" applyBorder="1" applyAlignment="1">
      <alignment horizontal="center"/>
    </xf>
    <xf numFmtId="4" fontId="5" fillId="5" borderId="37" xfId="0" applyNumberFormat="1" applyFont="1" applyFill="1" applyBorder="1" applyAlignment="1" applyProtection="1">
      <alignment horizontal="center"/>
    </xf>
    <xf numFmtId="4" fontId="66" fillId="5" borderId="37" xfId="0" applyNumberFormat="1" applyFont="1" applyFill="1" applyBorder="1" applyAlignment="1" applyProtection="1">
      <alignment horizontal="center"/>
    </xf>
    <xf numFmtId="0" fontId="77" fillId="0" borderId="0" xfId="4" applyFont="1" applyFill="1" applyAlignment="1" applyProtection="1">
      <alignment vertical="center"/>
    </xf>
    <xf numFmtId="3" fontId="80" fillId="0" borderId="37" xfId="0" applyNumberFormat="1" applyFont="1" applyBorder="1" applyAlignment="1">
      <alignment horizontal="center"/>
    </xf>
    <xf numFmtId="3" fontId="80" fillId="0" borderId="37" xfId="0" applyNumberFormat="1" applyFont="1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3" fontId="80" fillId="0" borderId="33" xfId="0" applyNumberFormat="1" applyFont="1" applyBorder="1" applyAlignment="1">
      <alignment horizontal="center"/>
    </xf>
    <xf numFmtId="3" fontId="17" fillId="0" borderId="0" xfId="0" applyNumberFormat="1" applyFont="1" applyAlignment="1">
      <alignment horizontal="center"/>
    </xf>
    <xf numFmtId="0" fontId="0" fillId="2" borderId="0" xfId="0" applyFill="1"/>
    <xf numFmtId="3" fontId="80" fillId="0" borderId="56" xfId="0" applyNumberFormat="1" applyFont="1" applyBorder="1" applyAlignment="1">
      <alignment horizontal="center"/>
    </xf>
    <xf numFmtId="3" fontId="17" fillId="0" borderId="3" xfId="0" applyNumberFormat="1" applyFont="1" applyBorder="1" applyAlignment="1">
      <alignment horizontal="center"/>
    </xf>
    <xf numFmtId="0" fontId="0" fillId="2" borderId="3" xfId="0" applyFill="1" applyBorder="1"/>
    <xf numFmtId="0" fontId="0" fillId="2" borderId="11" xfId="0" applyFill="1" applyBorder="1"/>
    <xf numFmtId="3" fontId="17" fillId="0" borderId="11" xfId="0" applyNumberFormat="1" applyFont="1" applyBorder="1" applyAlignment="1">
      <alignment horizontal="center"/>
    </xf>
    <xf numFmtId="0" fontId="3" fillId="0" borderId="0" xfId="4" applyFont="1" applyFill="1" applyBorder="1" applyAlignment="1" applyProtection="1">
      <alignment horizontal="center" vertical="center"/>
    </xf>
    <xf numFmtId="4" fontId="3" fillId="0" borderId="0" xfId="4" applyNumberFormat="1" applyFont="1" applyFill="1" applyBorder="1" applyAlignment="1" applyProtection="1">
      <alignment horizontal="center" vertical="center"/>
    </xf>
    <xf numFmtId="3" fontId="3" fillId="0" borderId="0" xfId="4" applyNumberFormat="1" applyFont="1" applyFill="1" applyBorder="1" applyAlignment="1" applyProtection="1">
      <alignment horizontal="center" vertical="center"/>
    </xf>
    <xf numFmtId="192" fontId="3" fillId="0" borderId="0" xfId="4" applyNumberFormat="1" applyFont="1" applyFill="1" applyBorder="1" applyAlignment="1" applyProtection="1">
      <alignment horizontal="center" vertical="center"/>
    </xf>
    <xf numFmtId="3" fontId="78" fillId="0" borderId="0" xfId="0" applyNumberFormat="1" applyFont="1" applyBorder="1" applyAlignment="1">
      <alignment horizontal="center"/>
    </xf>
    <xf numFmtId="3" fontId="78" fillId="0" borderId="0" xfId="0" applyNumberFormat="1" applyFont="1" applyFill="1" applyBorder="1" applyAlignment="1">
      <alignment horizontal="center"/>
    </xf>
    <xf numFmtId="3" fontId="81" fillId="0" borderId="0" xfId="0" applyNumberFormat="1" applyFont="1" applyAlignment="1">
      <alignment horizontal="center"/>
    </xf>
    <xf numFmtId="3" fontId="81" fillId="0" borderId="0" xfId="0" applyNumberFormat="1" applyFont="1" applyBorder="1" applyAlignment="1">
      <alignment horizontal="center"/>
    </xf>
    <xf numFmtId="3" fontId="81" fillId="0" borderId="0" xfId="0" applyNumberFormat="1" applyFont="1" applyFill="1" applyBorder="1" applyAlignment="1">
      <alignment horizontal="center"/>
    </xf>
    <xf numFmtId="20" fontId="28" fillId="0" borderId="55" xfId="0" applyNumberFormat="1" applyFont="1" applyBorder="1" applyAlignment="1" applyProtection="1">
      <alignment horizontal="center"/>
    </xf>
    <xf numFmtId="2" fontId="28" fillId="0" borderId="3" xfId="0" applyNumberFormat="1" applyFont="1" applyBorder="1" applyAlignment="1" applyProtection="1">
      <alignment horizontal="center"/>
    </xf>
    <xf numFmtId="1" fontId="28" fillId="0" borderId="3" xfId="0" applyNumberFormat="1" applyFont="1" applyBorder="1" applyAlignment="1" applyProtection="1">
      <alignment horizontal="center"/>
    </xf>
    <xf numFmtId="184" fontId="28" fillId="0" borderId="3" xfId="0" applyNumberFormat="1" applyFont="1" applyBorder="1" applyAlignment="1" applyProtection="1">
      <alignment horizontal="center"/>
    </xf>
    <xf numFmtId="20" fontId="17" fillId="0" borderId="55" xfId="0" applyNumberFormat="1" applyFont="1" applyBorder="1" applyAlignment="1" applyProtection="1">
      <alignment horizontal="center"/>
    </xf>
    <xf numFmtId="2" fontId="17" fillId="0" borderId="3" xfId="0" applyNumberFormat="1" applyFont="1" applyBorder="1" applyAlignment="1" applyProtection="1">
      <alignment horizontal="center"/>
    </xf>
    <xf numFmtId="3" fontId="17" fillId="0" borderId="55" xfId="0" applyNumberFormat="1" applyFont="1" applyBorder="1" applyAlignment="1" applyProtection="1">
      <alignment horizontal="center"/>
    </xf>
    <xf numFmtId="192" fontId="17" fillId="0" borderId="55" xfId="0" applyNumberFormat="1" applyFont="1" applyBorder="1" applyAlignment="1" applyProtection="1">
      <alignment horizontal="center"/>
    </xf>
    <xf numFmtId="192" fontId="17" fillId="0" borderId="3" xfId="0" applyNumberFormat="1" applyFont="1" applyBorder="1" applyAlignment="1" applyProtection="1">
      <alignment horizontal="center"/>
    </xf>
    <xf numFmtId="20" fontId="65" fillId="5" borderId="34" xfId="0" applyNumberFormat="1" applyFont="1" applyFill="1" applyBorder="1" applyAlignment="1" applyProtection="1">
      <alignment horizontal="center"/>
    </xf>
    <xf numFmtId="2" fontId="66" fillId="5" borderId="37" xfId="0" applyNumberFormat="1" applyFont="1" applyFill="1" applyBorder="1" applyAlignment="1" applyProtection="1">
      <alignment horizontal="center"/>
    </xf>
    <xf numFmtId="3" fontId="66" fillId="5" borderId="34" xfId="0" applyNumberFormat="1" applyFont="1" applyFill="1" applyBorder="1" applyAlignment="1" applyProtection="1">
      <alignment horizontal="center"/>
    </xf>
    <xf numFmtId="192" fontId="66" fillId="5" borderId="37" xfId="0" applyNumberFormat="1" applyFont="1" applyFill="1" applyBorder="1" applyAlignment="1" applyProtection="1">
      <alignment horizontal="center"/>
    </xf>
    <xf numFmtId="0" fontId="0" fillId="0" borderId="34" xfId="0" applyBorder="1" applyAlignment="1" applyProtection="1">
      <alignment horizontal="center"/>
    </xf>
    <xf numFmtId="0" fontId="0" fillId="0" borderId="33" xfId="0" applyBorder="1" applyAlignment="1" applyProtection="1">
      <alignment horizontal="center"/>
    </xf>
    <xf numFmtId="0" fontId="3" fillId="0" borderId="56" xfId="0" applyFont="1" applyBorder="1" applyAlignment="1" applyProtection="1">
      <alignment horizontal="center"/>
    </xf>
    <xf numFmtId="3" fontId="3" fillId="0" borderId="56" xfId="0" applyNumberFormat="1" applyFont="1" applyBorder="1" applyAlignment="1" applyProtection="1">
      <alignment horizontal="center"/>
    </xf>
    <xf numFmtId="0" fontId="3" fillId="0" borderId="34" xfId="0" applyFont="1" applyBorder="1" applyAlignment="1" applyProtection="1">
      <alignment horizontal="center"/>
    </xf>
    <xf numFmtId="20" fontId="0" fillId="0" borderId="55" xfId="0" applyNumberFormat="1" applyBorder="1" applyAlignment="1" applyProtection="1">
      <alignment horizontal="center"/>
    </xf>
    <xf numFmtId="2" fontId="0" fillId="0" borderId="9" xfId="0" applyNumberFormat="1" applyBorder="1" applyAlignment="1" applyProtection="1">
      <alignment horizontal="center"/>
    </xf>
    <xf numFmtId="3" fontId="0" fillId="0" borderId="0" xfId="0" applyNumberFormat="1" applyBorder="1" applyAlignment="1" applyProtection="1">
      <alignment horizontal="center"/>
    </xf>
    <xf numFmtId="3" fontId="0" fillId="0" borderId="55" xfId="0" applyNumberFormat="1" applyBorder="1" applyAlignment="1" applyProtection="1">
      <alignment horizontal="center"/>
    </xf>
    <xf numFmtId="3" fontId="31" fillId="0" borderId="0" xfId="0" applyNumberFormat="1" applyFont="1" applyBorder="1" applyAlignment="1" applyProtection="1">
      <alignment horizontal="center"/>
    </xf>
    <xf numFmtId="20" fontId="3" fillId="0" borderId="34" xfId="0" applyNumberFormat="1" applyFont="1" applyBorder="1" applyAlignment="1" applyProtection="1">
      <alignment horizontal="center"/>
    </xf>
    <xf numFmtId="2" fontId="3" fillId="0" borderId="33" xfId="0" applyNumberFormat="1" applyFont="1" applyBorder="1" applyAlignment="1" applyProtection="1">
      <alignment horizontal="center"/>
    </xf>
    <xf numFmtId="3" fontId="3" fillId="0" borderId="34" xfId="0" applyNumberFormat="1" applyFont="1" applyBorder="1" applyAlignment="1" applyProtection="1">
      <alignment horizontal="center"/>
    </xf>
    <xf numFmtId="0" fontId="75" fillId="0" borderId="0" xfId="0" applyFont="1" applyProtection="1"/>
    <xf numFmtId="0" fontId="0" fillId="5" borderId="54" xfId="0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3" fillId="5" borderId="15" xfId="0" applyFont="1" applyFill="1" applyBorder="1" applyAlignment="1" applyProtection="1">
      <alignment horizontal="center"/>
    </xf>
    <xf numFmtId="0" fontId="3" fillId="5" borderId="14" xfId="0" applyFont="1" applyFill="1" applyBorder="1" applyAlignment="1" applyProtection="1">
      <alignment horizontal="center"/>
    </xf>
    <xf numFmtId="2" fontId="0" fillId="5" borderId="14" xfId="0" applyNumberFormat="1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0" fontId="0" fillId="5" borderId="11" xfId="0" applyFill="1" applyBorder="1" applyAlignment="1" applyProtection="1">
      <alignment horizontal="center"/>
    </xf>
    <xf numFmtId="0" fontId="0" fillId="5" borderId="12" xfId="0" applyFill="1" applyBorder="1" applyAlignment="1" applyProtection="1">
      <alignment horizontal="center"/>
    </xf>
    <xf numFmtId="3" fontId="28" fillId="0" borderId="55" xfId="0" applyNumberFormat="1" applyFont="1" applyBorder="1" applyAlignment="1" applyProtection="1">
      <alignment horizontal="center"/>
    </xf>
    <xf numFmtId="192" fontId="28" fillId="0" borderId="3" xfId="0" applyNumberFormat="1" applyFont="1" applyBorder="1" applyAlignment="1" applyProtection="1">
      <alignment horizontal="center"/>
    </xf>
    <xf numFmtId="20" fontId="28" fillId="2" borderId="55" xfId="0" applyNumberFormat="1" applyFont="1" applyFill="1" applyBorder="1" applyAlignment="1" applyProtection="1">
      <alignment horizontal="center"/>
    </xf>
    <xf numFmtId="2" fontId="55" fillId="2" borderId="3" xfId="0" applyNumberFormat="1" applyFont="1" applyFill="1" applyBorder="1" applyAlignment="1" applyProtection="1">
      <alignment horizontal="center"/>
    </xf>
    <xf numFmtId="3" fontId="28" fillId="2" borderId="55" xfId="0" applyNumberFormat="1" applyFont="1" applyFill="1" applyBorder="1" applyAlignment="1" applyProtection="1">
      <alignment horizontal="center"/>
    </xf>
    <xf numFmtId="184" fontId="28" fillId="2" borderId="3" xfId="0" applyNumberFormat="1" applyFont="1" applyFill="1" applyBorder="1" applyAlignment="1" applyProtection="1">
      <alignment horizontal="center"/>
    </xf>
    <xf numFmtId="192" fontId="28" fillId="2" borderId="3" xfId="0" applyNumberFormat="1" applyFont="1" applyFill="1" applyBorder="1" applyAlignment="1" applyProtection="1">
      <alignment horizontal="center"/>
    </xf>
    <xf numFmtId="20" fontId="17" fillId="2" borderId="55" xfId="0" applyNumberFormat="1" applyFont="1" applyFill="1" applyBorder="1" applyAlignment="1" applyProtection="1">
      <alignment horizontal="center"/>
    </xf>
    <xf numFmtId="3" fontId="17" fillId="2" borderId="55" xfId="0" applyNumberFormat="1" applyFont="1" applyFill="1" applyBorder="1" applyAlignment="1" applyProtection="1">
      <alignment horizontal="center"/>
    </xf>
    <xf numFmtId="184" fontId="17" fillId="2" borderId="3" xfId="0" applyNumberFormat="1" applyFont="1" applyFill="1" applyBorder="1" applyAlignment="1" applyProtection="1">
      <alignment horizontal="center"/>
    </xf>
    <xf numFmtId="192" fontId="17" fillId="2" borderId="11" xfId="0" applyNumberFormat="1" applyFont="1" applyFill="1" applyBorder="1" applyAlignment="1" applyProtection="1">
      <alignment horizontal="center"/>
    </xf>
    <xf numFmtId="184" fontId="29" fillId="0" borderId="0" xfId="5" applyNumberFormat="1" applyAlignment="1" applyProtection="1">
      <alignment vertical="center"/>
    </xf>
    <xf numFmtId="0" fontId="29" fillId="0" borderId="0" xfId="5" applyFont="1" applyAlignment="1" applyProtection="1">
      <alignment horizontal="center" vertical="center"/>
    </xf>
    <xf numFmtId="198" fontId="38" fillId="0" borderId="6" xfId="4" applyNumberFormat="1" applyFont="1" applyFill="1" applyBorder="1" applyAlignment="1" applyProtection="1">
      <alignment horizontal="center" vertical="center"/>
    </xf>
    <xf numFmtId="0" fontId="17" fillId="9" borderId="55" xfId="0" applyFont="1" applyFill="1" applyBorder="1" applyAlignment="1" applyProtection="1">
      <alignment horizontal="center"/>
      <protection locked="0"/>
    </xf>
    <xf numFmtId="184" fontId="17" fillId="0" borderId="0" xfId="4" applyNumberFormat="1" applyFont="1" applyFill="1" applyAlignment="1" applyProtection="1">
      <alignment horizontal="center" vertical="center"/>
    </xf>
    <xf numFmtId="0" fontId="38" fillId="0" borderId="0" xfId="4" applyFont="1" applyFill="1" applyAlignment="1" applyProtection="1">
      <alignment vertical="center"/>
    </xf>
    <xf numFmtId="3" fontId="38" fillId="0" borderId="0" xfId="4" applyNumberFormat="1" applyFont="1" applyFill="1" applyBorder="1" applyAlignment="1" applyProtection="1">
      <alignment vertical="center"/>
    </xf>
    <xf numFmtId="0" fontId="28" fillId="4" borderId="0" xfId="4" applyFont="1" applyFill="1" applyAlignment="1" applyProtection="1">
      <alignment horizontal="center" vertical="center"/>
    </xf>
    <xf numFmtId="0" fontId="9" fillId="0" borderId="37" xfId="4" applyFont="1" applyFill="1" applyBorder="1" applyAlignment="1" applyProtection="1">
      <alignment horizontal="center" vertical="center"/>
      <protection locked="0"/>
    </xf>
    <xf numFmtId="0" fontId="81" fillId="0" borderId="0" xfId="0" applyFont="1"/>
    <xf numFmtId="2" fontId="9" fillId="0" borderId="9" xfId="0" applyNumberFormat="1" applyFont="1" applyBorder="1" applyAlignment="1">
      <alignment horizontal="center"/>
    </xf>
    <xf numFmtId="2" fontId="9" fillId="0" borderId="13" xfId="0" applyNumberFormat="1" applyFont="1" applyBorder="1" applyAlignment="1">
      <alignment horizontal="center"/>
    </xf>
    <xf numFmtId="2" fontId="9" fillId="0" borderId="10" xfId="0" applyNumberFormat="1" applyFont="1" applyBorder="1" applyAlignment="1">
      <alignment horizontal="center"/>
    </xf>
    <xf numFmtId="2" fontId="21" fillId="0" borderId="13" xfId="0" applyNumberFormat="1" applyFont="1" applyBorder="1" applyAlignment="1" applyProtection="1">
      <alignment horizontal="center"/>
      <protection locked="0"/>
    </xf>
    <xf numFmtId="2" fontId="21" fillId="0" borderId="9" xfId="0" applyNumberFormat="1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1" fillId="0" borderId="11" xfId="0" applyFont="1" applyBorder="1" applyAlignment="1" applyProtection="1">
      <alignment horizontal="center"/>
      <protection locked="0"/>
    </xf>
    <xf numFmtId="0" fontId="82" fillId="0" borderId="0" xfId="4" applyFont="1" applyFill="1" applyBorder="1" applyAlignment="1" applyProtection="1">
      <alignment vertical="center"/>
    </xf>
    <xf numFmtId="2" fontId="39" fillId="0" borderId="0" xfId="4" applyNumberFormat="1" applyFont="1" applyFill="1" applyBorder="1" applyAlignment="1" applyProtection="1">
      <alignment vertical="center"/>
    </xf>
    <xf numFmtId="0" fontId="61" fillId="0" borderId="0" xfId="4" applyFont="1" applyFill="1" applyBorder="1" applyAlignment="1" applyProtection="1">
      <alignment vertical="center"/>
    </xf>
    <xf numFmtId="0" fontId="80" fillId="0" borderId="0" xfId="0" applyFont="1"/>
    <xf numFmtId="184" fontId="23" fillId="0" borderId="37" xfId="0" applyNumberFormat="1" applyFont="1" applyBorder="1" applyAlignment="1" applyProtection="1">
      <alignment horizontal="center"/>
      <protection locked="0"/>
    </xf>
    <xf numFmtId="20" fontId="17" fillId="0" borderId="55" xfId="0" applyNumberFormat="1" applyFont="1" applyBorder="1" applyAlignment="1" applyProtection="1">
      <alignment horizontal="center"/>
      <protection locked="0"/>
    </xf>
    <xf numFmtId="3" fontId="17" fillId="0" borderId="55" xfId="0" applyNumberFormat="1" applyFont="1" applyBorder="1" applyAlignment="1" applyProtection="1">
      <alignment horizontal="center"/>
      <protection locked="0"/>
    </xf>
    <xf numFmtId="192" fontId="28" fillId="0" borderId="55" xfId="0" applyNumberFormat="1" applyFont="1" applyBorder="1" applyAlignment="1" applyProtection="1">
      <alignment horizontal="center"/>
    </xf>
    <xf numFmtId="3" fontId="81" fillId="0" borderId="14" xfId="0" applyNumberFormat="1" applyFont="1" applyBorder="1" applyAlignment="1">
      <alignment horizontal="center"/>
    </xf>
    <xf numFmtId="3" fontId="81" fillId="0" borderId="3" xfId="0" applyNumberFormat="1" applyFont="1" applyBorder="1" applyAlignment="1">
      <alignment horizontal="center"/>
    </xf>
    <xf numFmtId="184" fontId="21" fillId="0" borderId="55" xfId="0" applyNumberFormat="1" applyFont="1" applyBorder="1" applyAlignment="1" applyProtection="1">
      <alignment horizontal="center"/>
      <protection locked="0"/>
    </xf>
    <xf numFmtId="184" fontId="17" fillId="0" borderId="55" xfId="0" applyNumberFormat="1" applyFont="1" applyBorder="1" applyAlignment="1" applyProtection="1">
      <alignment horizontal="center"/>
      <protection locked="0"/>
    </xf>
    <xf numFmtId="0" fontId="0" fillId="5" borderId="0" xfId="0" applyFill="1" applyBorder="1" applyAlignment="1">
      <alignment horizontal="center"/>
    </xf>
    <xf numFmtId="192" fontId="5" fillId="5" borderId="11" xfId="0" applyNumberFormat="1" applyFont="1" applyFill="1" applyBorder="1" applyAlignment="1">
      <alignment horizontal="center"/>
    </xf>
    <xf numFmtId="192" fontId="21" fillId="0" borderId="54" xfId="0" applyNumberFormat="1" applyFont="1" applyBorder="1" applyAlignment="1" applyProtection="1">
      <alignment horizontal="center"/>
      <protection locked="0"/>
    </xf>
    <xf numFmtId="192" fontId="21" fillId="0" borderId="55" xfId="0" applyNumberFormat="1" applyFont="1" applyBorder="1" applyAlignment="1" applyProtection="1">
      <alignment horizontal="center"/>
      <protection locked="0"/>
    </xf>
    <xf numFmtId="192" fontId="17" fillId="0" borderId="55" xfId="0" applyNumberFormat="1" applyFont="1" applyBorder="1" applyAlignment="1" applyProtection="1">
      <alignment horizontal="center"/>
      <protection locked="0"/>
    </xf>
    <xf numFmtId="192" fontId="21" fillId="0" borderId="28" xfId="0" applyNumberFormat="1" applyFont="1" applyBorder="1" applyAlignment="1" applyProtection="1">
      <alignment horizontal="center"/>
      <protection locked="0"/>
    </xf>
    <xf numFmtId="0" fontId="0" fillId="5" borderId="3" xfId="0" applyFill="1" applyBorder="1" applyAlignment="1">
      <alignment horizontal="center"/>
    </xf>
    <xf numFmtId="3" fontId="3" fillId="0" borderId="28" xfId="0" applyNumberFormat="1" applyFont="1" applyBorder="1" applyAlignment="1">
      <alignment horizontal="center"/>
    </xf>
    <xf numFmtId="3" fontId="83" fillId="0" borderId="11" xfId="0" applyNumberFormat="1" applyFont="1" applyBorder="1" applyAlignment="1">
      <alignment horizontal="center"/>
    </xf>
    <xf numFmtId="3" fontId="81" fillId="0" borderId="54" xfId="0" applyNumberFormat="1" applyFont="1" applyBorder="1" applyAlignment="1">
      <alignment horizontal="center"/>
    </xf>
    <xf numFmtId="3" fontId="81" fillId="0" borderId="55" xfId="0" applyNumberFormat="1" applyFont="1" applyBorder="1" applyAlignment="1">
      <alignment horizontal="center"/>
    </xf>
    <xf numFmtId="3" fontId="83" fillId="0" borderId="28" xfId="0" applyNumberFormat="1" applyFont="1" applyBorder="1" applyAlignment="1">
      <alignment horizontal="center"/>
    </xf>
    <xf numFmtId="3" fontId="3" fillId="0" borderId="10" xfId="0" applyNumberFormat="1" applyFont="1" applyBorder="1" applyAlignment="1">
      <alignment horizontal="center"/>
    </xf>
    <xf numFmtId="20" fontId="21" fillId="7" borderId="55" xfId="0" applyNumberFormat="1" applyFont="1" applyFill="1" applyBorder="1" applyAlignment="1" applyProtection="1">
      <alignment horizontal="center"/>
      <protection locked="0"/>
    </xf>
    <xf numFmtId="2" fontId="0" fillId="7" borderId="3" xfId="0" applyNumberFormat="1" applyFill="1" applyBorder="1" applyAlignment="1">
      <alignment horizontal="center"/>
    </xf>
    <xf numFmtId="3" fontId="21" fillId="7" borderId="55" xfId="0" applyNumberFormat="1" applyFont="1" applyFill="1" applyBorder="1" applyAlignment="1" applyProtection="1">
      <alignment horizontal="center"/>
      <protection locked="0"/>
    </xf>
    <xf numFmtId="184" fontId="21" fillId="7" borderId="55" xfId="0" applyNumberFormat="1" applyFont="1" applyFill="1" applyBorder="1" applyAlignment="1" applyProtection="1">
      <alignment horizontal="center"/>
      <protection locked="0"/>
    </xf>
    <xf numFmtId="192" fontId="21" fillId="7" borderId="55" xfId="0" applyNumberFormat="1" applyFont="1" applyFill="1" applyBorder="1" applyAlignment="1" applyProtection="1">
      <alignment horizontal="center"/>
      <protection locked="0"/>
    </xf>
    <xf numFmtId="184" fontId="21" fillId="7" borderId="3" xfId="0" applyNumberFormat="1" applyFont="1" applyFill="1" applyBorder="1" applyAlignment="1" applyProtection="1">
      <alignment horizontal="center"/>
      <protection locked="0"/>
    </xf>
    <xf numFmtId="192" fontId="21" fillId="7" borderId="3" xfId="0" applyNumberFormat="1" applyFont="1" applyFill="1" applyBorder="1" applyAlignment="1" applyProtection="1">
      <alignment horizontal="center"/>
      <protection locked="0"/>
    </xf>
    <xf numFmtId="0" fontId="3" fillId="8" borderId="47" xfId="0" applyFont="1" applyFill="1" applyBorder="1" applyAlignment="1">
      <alignment horizontal="left"/>
    </xf>
    <xf numFmtId="185" fontId="66" fillId="9" borderId="47" xfId="2" applyNumberFormat="1" applyFont="1" applyFill="1" applyBorder="1" applyAlignment="1" applyProtection="1">
      <alignment horizontal="center"/>
      <protection locked="0"/>
    </xf>
    <xf numFmtId="182" fontId="3" fillId="2" borderId="65" xfId="0" applyNumberFormat="1" applyFont="1" applyFill="1" applyBorder="1" applyAlignment="1">
      <alignment horizontal="center"/>
    </xf>
    <xf numFmtId="182" fontId="3" fillId="2" borderId="8" xfId="0" applyNumberFormat="1" applyFont="1" applyFill="1" applyBorder="1" applyAlignment="1">
      <alignment horizontal="center"/>
    </xf>
    <xf numFmtId="0" fontId="63" fillId="2" borderId="8" xfId="0" applyFont="1" applyFill="1" applyBorder="1" applyAlignment="1">
      <alignment horizontal="center"/>
    </xf>
    <xf numFmtId="0" fontId="63" fillId="2" borderId="71" xfId="0" applyFont="1" applyFill="1" applyBorder="1" applyAlignment="1">
      <alignment horizontal="center"/>
    </xf>
    <xf numFmtId="0" fontId="63" fillId="2" borderId="18" xfId="0" applyFont="1" applyFill="1" applyBorder="1" applyAlignment="1">
      <alignment horizontal="center"/>
    </xf>
    <xf numFmtId="185" fontId="5" fillId="4" borderId="17" xfId="2" applyNumberFormat="1" applyFont="1" applyFill="1" applyBorder="1" applyAlignment="1">
      <alignment horizontal="center"/>
    </xf>
    <xf numFmtId="185" fontId="5" fillId="4" borderId="72" xfId="2" applyNumberFormat="1" applyFont="1" applyFill="1" applyBorder="1" applyAlignment="1">
      <alignment horizontal="center"/>
    </xf>
    <xf numFmtId="185" fontId="5" fillId="4" borderId="16" xfId="2" applyNumberFormat="1" applyFont="1" applyFill="1" applyBorder="1" applyAlignment="1">
      <alignment horizontal="center"/>
    </xf>
    <xf numFmtId="185" fontId="3" fillId="0" borderId="37" xfId="2" applyNumberFormat="1" applyFont="1" applyFill="1" applyBorder="1" applyAlignment="1">
      <alignment horizontal="center"/>
    </xf>
    <xf numFmtId="185" fontId="3" fillId="0" borderId="73" xfId="2" applyNumberFormat="1" applyFont="1" applyFill="1" applyBorder="1" applyAlignment="1">
      <alignment horizontal="center"/>
    </xf>
    <xf numFmtId="185" fontId="3" fillId="0" borderId="74" xfId="2" applyNumberFormat="1" applyFont="1" applyFill="1" applyBorder="1" applyAlignment="1">
      <alignment horizontal="center"/>
    </xf>
    <xf numFmtId="185" fontId="3" fillId="0" borderId="75" xfId="2" applyNumberFormat="1" applyFont="1" applyFill="1" applyBorder="1" applyAlignment="1">
      <alignment horizontal="center"/>
    </xf>
    <xf numFmtId="185" fontId="3" fillId="0" borderId="36" xfId="2" applyNumberFormat="1" applyFont="1" applyFill="1" applyBorder="1" applyAlignment="1">
      <alignment horizontal="center"/>
    </xf>
    <xf numFmtId="185" fontId="3" fillId="0" borderId="63" xfId="2" applyNumberFormat="1" applyFont="1" applyFill="1" applyBorder="1" applyAlignment="1">
      <alignment horizontal="center"/>
    </xf>
    <xf numFmtId="185" fontId="3" fillId="0" borderId="5" xfId="2" applyNumberFormat="1" applyFont="1" applyFill="1" applyBorder="1" applyAlignment="1">
      <alignment horizontal="center"/>
    </xf>
    <xf numFmtId="185" fontId="3" fillId="0" borderId="4" xfId="2" applyNumberFormat="1" applyFont="1" applyFill="1" applyBorder="1" applyAlignment="1">
      <alignment horizontal="center"/>
    </xf>
    <xf numFmtId="185" fontId="3" fillId="0" borderId="64" xfId="2" applyNumberFormat="1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4" fillId="0" borderId="0" xfId="0" applyFont="1"/>
    <xf numFmtId="0" fontId="20" fillId="10" borderId="0" xfId="0" applyFont="1" applyFill="1"/>
    <xf numFmtId="0" fontId="21" fillId="0" borderId="46" xfId="0" applyFont="1" applyBorder="1" applyAlignment="1">
      <alignment horizontal="center"/>
    </xf>
    <xf numFmtId="0" fontId="9" fillId="0" borderId="76" xfId="0" applyFont="1" applyBorder="1" applyAlignment="1">
      <alignment horizontal="center"/>
    </xf>
    <xf numFmtId="184" fontId="9" fillId="0" borderId="76" xfId="0" applyNumberFormat="1" applyFont="1" applyBorder="1" applyAlignment="1">
      <alignment horizontal="center"/>
    </xf>
    <xf numFmtId="0" fontId="21" fillId="0" borderId="76" xfId="0" applyFont="1" applyBorder="1" applyAlignment="1">
      <alignment horizontal="center"/>
    </xf>
    <xf numFmtId="0" fontId="21" fillId="0" borderId="21" xfId="0" applyFont="1" applyBorder="1" applyAlignment="1">
      <alignment horizontal="center"/>
    </xf>
    <xf numFmtId="2" fontId="3" fillId="0" borderId="21" xfId="0" applyNumberFormat="1" applyFont="1" applyBorder="1" applyAlignment="1">
      <alignment horizontal="center"/>
    </xf>
    <xf numFmtId="182" fontId="17" fillId="0" borderId="76" xfId="0" applyNumberFormat="1" applyFont="1" applyBorder="1" applyAlignment="1">
      <alignment horizontal="center"/>
    </xf>
    <xf numFmtId="184" fontId="17" fillId="0" borderId="76" xfId="0" applyNumberFormat="1" applyFont="1" applyBorder="1" applyAlignment="1">
      <alignment horizontal="center"/>
    </xf>
    <xf numFmtId="182" fontId="17" fillId="0" borderId="21" xfId="0" applyNumberFormat="1" applyFont="1" applyBorder="1" applyAlignment="1">
      <alignment horizontal="center"/>
    </xf>
    <xf numFmtId="184" fontId="17" fillId="0" borderId="21" xfId="0" applyNumberFormat="1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192" fontId="4" fillId="0" borderId="0" xfId="0" applyNumberFormat="1" applyFont="1" applyAlignment="1">
      <alignment horizontal="center"/>
    </xf>
    <xf numFmtId="184" fontId="4" fillId="0" borderId="46" xfId="0" applyNumberFormat="1" applyFont="1" applyFill="1" applyBorder="1" applyAlignment="1">
      <alignment horizontal="center"/>
    </xf>
    <xf numFmtId="2" fontId="4" fillId="0" borderId="0" xfId="0" applyNumberFormat="1" applyFont="1" applyFill="1"/>
    <xf numFmtId="192" fontId="2" fillId="0" borderId="46" xfId="0" applyNumberFormat="1" applyFont="1" applyBorder="1" applyAlignment="1">
      <alignment horizontal="center"/>
    </xf>
    <xf numFmtId="184" fontId="4" fillId="0" borderId="61" xfId="0" applyNumberFormat="1" applyFont="1" applyFill="1" applyBorder="1" applyAlignment="1">
      <alignment horizontal="center"/>
    </xf>
    <xf numFmtId="192" fontId="2" fillId="0" borderId="61" xfId="0" applyNumberFormat="1" applyFont="1" applyBorder="1" applyAlignment="1">
      <alignment horizontal="center"/>
    </xf>
    <xf numFmtId="184" fontId="4" fillId="0" borderId="21" xfId="0" applyNumberFormat="1" applyFont="1" applyFill="1" applyBorder="1" applyAlignment="1">
      <alignment horizontal="center"/>
    </xf>
    <xf numFmtId="192" fontId="2" fillId="0" borderId="21" xfId="0" applyNumberFormat="1" applyFont="1" applyBorder="1" applyAlignment="1">
      <alignment horizontal="center"/>
    </xf>
    <xf numFmtId="0" fontId="4" fillId="0" borderId="0" xfId="0" applyFont="1" applyFill="1"/>
    <xf numFmtId="184" fontId="88" fillId="0" borderId="76" xfId="0" applyNumberFormat="1" applyFont="1" applyFill="1" applyBorder="1" applyAlignment="1">
      <alignment horizontal="center"/>
    </xf>
    <xf numFmtId="192" fontId="13" fillId="9" borderId="76" xfId="0" applyNumberFormat="1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86" fillId="0" borderId="0" xfId="0" applyFont="1" applyBorder="1" applyAlignment="1">
      <alignment horizontal="center"/>
    </xf>
    <xf numFmtId="0" fontId="87" fillId="0" borderId="0" xfId="0" applyFont="1" applyBorder="1"/>
    <xf numFmtId="192" fontId="9" fillId="0" borderId="0" xfId="0" applyNumberFormat="1" applyFont="1" applyBorder="1" applyAlignment="1">
      <alignment horizontal="center"/>
    </xf>
    <xf numFmtId="0" fontId="3" fillId="0" borderId="5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192" fontId="2" fillId="5" borderId="76" xfId="0" applyNumberFormat="1" applyFont="1" applyFill="1" applyBorder="1" applyAlignment="1">
      <alignment horizontal="center"/>
    </xf>
    <xf numFmtId="192" fontId="2" fillId="9" borderId="76" xfId="0" applyNumberFormat="1" applyFont="1" applyFill="1" applyBorder="1" applyAlignment="1">
      <alignment horizontal="center"/>
    </xf>
    <xf numFmtId="0" fontId="20" fillId="0" borderId="76" xfId="0" applyFont="1" applyBorder="1" applyAlignment="1">
      <alignment horizontal="center"/>
    </xf>
    <xf numFmtId="184" fontId="77" fillId="0" borderId="0" xfId="4" applyNumberFormat="1" applyFont="1" applyFill="1" applyAlignment="1" applyProtection="1">
      <alignment horizontal="center" vertical="center"/>
    </xf>
    <xf numFmtId="184" fontId="17" fillId="5" borderId="76" xfId="4" applyNumberFormat="1" applyFont="1" applyFill="1" applyBorder="1" applyAlignment="1" applyProtection="1">
      <alignment horizontal="center" vertical="center"/>
    </xf>
    <xf numFmtId="184" fontId="31" fillId="0" borderId="37" xfId="4" applyNumberFormat="1" applyFont="1" applyFill="1" applyBorder="1" applyAlignment="1" applyProtection="1">
      <alignment horizontal="center" vertical="center"/>
    </xf>
    <xf numFmtId="3" fontId="29" fillId="0" borderId="0" xfId="5" applyNumberFormat="1" applyAlignment="1" applyProtection="1">
      <alignment vertical="center"/>
    </xf>
    <xf numFmtId="184" fontId="3" fillId="0" borderId="37" xfId="0" applyNumberFormat="1" applyFont="1" applyFill="1" applyBorder="1" applyAlignment="1" applyProtection="1">
      <alignment horizontal="center"/>
    </xf>
    <xf numFmtId="182" fontId="0" fillId="0" borderId="37" xfId="0" applyNumberFormat="1" applyBorder="1" applyAlignment="1">
      <alignment horizontal="center"/>
    </xf>
    <xf numFmtId="2" fontId="21" fillId="6" borderId="37" xfId="0" applyNumberFormat="1" applyFont="1" applyFill="1" applyBorder="1"/>
    <xf numFmtId="3" fontId="17" fillId="9" borderId="37" xfId="0" applyNumberFormat="1" applyFont="1" applyFill="1" applyBorder="1" applyAlignment="1" applyProtection="1">
      <alignment horizontal="center"/>
    </xf>
    <xf numFmtId="184" fontId="28" fillId="0" borderId="37" xfId="2" applyNumberFormat="1" applyFont="1" applyBorder="1" applyAlignment="1" applyProtection="1">
      <alignment horizontal="center"/>
    </xf>
    <xf numFmtId="0" fontId="3" fillId="0" borderId="0" xfId="4" quotePrefix="1" applyFont="1" applyFill="1" applyAlignment="1" applyProtection="1">
      <alignment vertical="center"/>
    </xf>
    <xf numFmtId="0" fontId="90" fillId="0" borderId="0" xfId="4" applyFont="1" applyFill="1" applyBorder="1" applyAlignment="1" applyProtection="1">
      <alignment vertical="center"/>
    </xf>
    <xf numFmtId="182" fontId="17" fillId="0" borderId="37" xfId="4" applyNumberFormat="1" applyFont="1" applyFill="1" applyBorder="1" applyAlignment="1" applyProtection="1">
      <alignment horizontal="center" vertical="center"/>
    </xf>
    <xf numFmtId="187" fontId="89" fillId="4" borderId="0" xfId="2" applyNumberFormat="1" applyFont="1" applyFill="1" applyAlignment="1" applyProtection="1">
      <alignment vertical="center"/>
    </xf>
    <xf numFmtId="0" fontId="9" fillId="0" borderId="0" xfId="4" applyFont="1" applyFill="1" applyAlignment="1" applyProtection="1">
      <alignment vertical="center"/>
      <protection locked="0"/>
    </xf>
    <xf numFmtId="2" fontId="78" fillId="0" borderId="0" xfId="4" applyNumberFormat="1" applyFont="1" applyFill="1" applyBorder="1" applyAlignment="1" applyProtection="1">
      <alignment horizontal="center" vertical="center"/>
    </xf>
    <xf numFmtId="20" fontId="21" fillId="0" borderId="60" xfId="4" applyNumberFormat="1" applyFont="1" applyFill="1" applyBorder="1" applyAlignment="1" applyProtection="1">
      <alignment horizontal="center" vertical="center"/>
      <protection locked="0"/>
    </xf>
    <xf numFmtId="0" fontId="21" fillId="0" borderId="0" xfId="4" applyFont="1" applyFill="1" applyBorder="1" applyAlignment="1" applyProtection="1">
      <alignment horizontal="center" vertical="center"/>
      <protection locked="0"/>
    </xf>
    <xf numFmtId="187" fontId="17" fillId="0" borderId="37" xfId="4" applyNumberFormat="1" applyFont="1" applyFill="1" applyBorder="1" applyAlignment="1" applyProtection="1">
      <alignment horizontal="left" vertical="center"/>
    </xf>
    <xf numFmtId="187" fontId="29" fillId="0" borderId="0" xfId="2" applyNumberFormat="1" applyFont="1" applyAlignment="1" applyProtection="1">
      <alignment horizontal="center" vertical="center"/>
    </xf>
    <xf numFmtId="187" fontId="91" fillId="0" borderId="0" xfId="2" applyNumberFormat="1" applyFont="1" applyAlignment="1" applyProtection="1">
      <alignment horizontal="center" vertical="center"/>
    </xf>
    <xf numFmtId="187" fontId="40" fillId="0" borderId="0" xfId="2" applyNumberFormat="1" applyFont="1" applyAlignment="1" applyProtection="1">
      <alignment vertical="center"/>
    </xf>
    <xf numFmtId="187" fontId="0" fillId="0" borderId="0" xfId="2" applyNumberFormat="1" applyFont="1"/>
    <xf numFmtId="0" fontId="9" fillId="0" borderId="56" xfId="0" applyFont="1" applyBorder="1"/>
    <xf numFmtId="2" fontId="96" fillId="0" borderId="0" xfId="0" applyNumberFormat="1" applyFont="1" applyBorder="1" applyProtection="1">
      <protection locked="0"/>
    </xf>
    <xf numFmtId="2" fontId="0" fillId="0" borderId="9" xfId="0" applyNumberFormat="1" applyBorder="1"/>
    <xf numFmtId="2" fontId="96" fillId="0" borderId="12" xfId="0" applyNumberFormat="1" applyFont="1" applyBorder="1" applyProtection="1">
      <protection locked="0"/>
    </xf>
    <xf numFmtId="2" fontId="0" fillId="0" borderId="10" xfId="0" applyNumberFormat="1" applyBorder="1"/>
    <xf numFmtId="2" fontId="0" fillId="0" borderId="37" xfId="0" applyNumberFormat="1" applyBorder="1"/>
    <xf numFmtId="178" fontId="0" fillId="0" borderId="37" xfId="0" applyNumberFormat="1" applyBorder="1"/>
    <xf numFmtId="178" fontId="0" fillId="0" borderId="0" xfId="0" applyNumberFormat="1"/>
    <xf numFmtId="0" fontId="0" fillId="12" borderId="0" xfId="0" applyFill="1"/>
    <xf numFmtId="199" fontId="97" fillId="0" borderId="37" xfId="2" applyNumberFormat="1" applyFont="1" applyBorder="1" applyAlignment="1">
      <alignment horizontal="center"/>
    </xf>
    <xf numFmtId="9" fontId="0" fillId="0" borderId="0" xfId="6" applyFont="1" applyAlignment="1">
      <alignment horizontal="center"/>
    </xf>
    <xf numFmtId="199" fontId="0" fillId="0" borderId="0" xfId="0" applyNumberFormat="1" applyAlignment="1">
      <alignment horizontal="center"/>
    </xf>
    <xf numFmtId="199" fontId="0" fillId="0" borderId="37" xfId="2" applyNumberFormat="1" applyFont="1" applyBorder="1" applyAlignment="1">
      <alignment horizontal="center"/>
    </xf>
    <xf numFmtId="196" fontId="95" fillId="13" borderId="37" xfId="6" applyNumberFormat="1" applyFont="1" applyFill="1" applyBorder="1" applyAlignment="1">
      <alignment horizontal="center"/>
    </xf>
    <xf numFmtId="200" fontId="97" fillId="0" borderId="37" xfId="2" applyNumberFormat="1" applyFont="1" applyBorder="1" applyAlignment="1">
      <alignment horizontal="center"/>
    </xf>
    <xf numFmtId="199" fontId="0" fillId="0" borderId="0" xfId="2" applyNumberFormat="1" applyFont="1" applyAlignment="1">
      <alignment horizontal="center"/>
    </xf>
    <xf numFmtId="200" fontId="0" fillId="0" borderId="0" xfId="0" applyNumberFormat="1" applyAlignment="1">
      <alignment horizontal="center"/>
    </xf>
    <xf numFmtId="200" fontId="94" fillId="0" borderId="37" xfId="2" applyNumberFormat="1" applyFont="1" applyBorder="1" applyAlignment="1">
      <alignment horizontal="center"/>
    </xf>
    <xf numFmtId="200" fontId="0" fillId="0" borderId="0" xfId="2" applyNumberFormat="1" applyFont="1" applyAlignment="1">
      <alignment horizontal="center"/>
    </xf>
    <xf numFmtId="0" fontId="95" fillId="0" borderId="0" xfId="0" applyFont="1"/>
    <xf numFmtId="179" fontId="97" fillId="0" borderId="37" xfId="2" applyNumberFormat="1" applyFont="1" applyBorder="1" applyAlignment="1">
      <alignment horizontal="center"/>
    </xf>
    <xf numFmtId="196" fontId="0" fillId="0" borderId="0" xfId="6" applyNumberFormat="1" applyFont="1" applyAlignment="1">
      <alignment horizontal="center"/>
    </xf>
    <xf numFmtId="199" fontId="94" fillId="0" borderId="37" xfId="2" applyNumberFormat="1" applyFont="1" applyBorder="1" applyAlignment="1">
      <alignment horizontal="center"/>
    </xf>
    <xf numFmtId="179" fontId="0" fillId="0" borderId="0" xfId="0" applyNumberFormat="1" applyAlignment="1">
      <alignment horizontal="center"/>
    </xf>
    <xf numFmtId="0" fontId="95" fillId="0" borderId="14" xfId="0" applyFont="1" applyBorder="1"/>
    <xf numFmtId="0" fontId="95" fillId="0" borderId="13" xfId="0" applyFont="1" applyBorder="1" applyAlignment="1">
      <alignment horizontal="center"/>
    </xf>
    <xf numFmtId="0" fontId="95" fillId="0" borderId="11" xfId="0" applyFont="1" applyBorder="1"/>
    <xf numFmtId="0" fontId="95" fillId="0" borderId="10" xfId="0" applyFont="1" applyBorder="1" applyAlignment="1">
      <alignment horizontal="center"/>
    </xf>
    <xf numFmtId="0" fontId="95" fillId="0" borderId="3" xfId="0" applyFont="1" applyBorder="1"/>
    <xf numFmtId="196" fontId="98" fillId="0" borderId="9" xfId="6" applyNumberFormat="1" applyFont="1" applyBorder="1" applyAlignment="1">
      <alignment horizontal="center"/>
    </xf>
    <xf numFmtId="196" fontId="98" fillId="0" borderId="10" xfId="6" applyNumberFormat="1" applyFont="1" applyBorder="1" applyAlignment="1">
      <alignment horizontal="center"/>
    </xf>
    <xf numFmtId="3" fontId="99" fillId="0" borderId="0" xfId="4" applyNumberFormat="1" applyFont="1" applyFill="1" applyAlignment="1" applyProtection="1">
      <alignment horizontal="center" vertical="center"/>
    </xf>
    <xf numFmtId="0" fontId="99" fillId="0" borderId="0" xfId="4" applyFont="1" applyFill="1" applyAlignment="1" applyProtection="1">
      <alignment horizontal="center" vertical="center"/>
    </xf>
    <xf numFmtId="187" fontId="99" fillId="0" borderId="0" xfId="2" applyNumberFormat="1" applyFont="1" applyFill="1" applyAlignment="1" applyProtection="1">
      <alignment horizontal="center" vertical="center"/>
    </xf>
    <xf numFmtId="183" fontId="0" fillId="0" borderId="37" xfId="0" applyNumberFormat="1" applyBorder="1"/>
    <xf numFmtId="0" fontId="99" fillId="0" borderId="0" xfId="4" applyFont="1" applyFill="1" applyAlignment="1" applyProtection="1">
      <alignment horizontal="right" vertical="center"/>
    </xf>
    <xf numFmtId="3" fontId="0" fillId="0" borderId="15" xfId="0" applyNumberFormat="1" applyBorder="1"/>
    <xf numFmtId="192" fontId="0" fillId="0" borderId="0" xfId="0" applyNumberFormat="1" applyBorder="1"/>
    <xf numFmtId="0" fontId="9" fillId="0" borderId="54" xfId="0" applyFont="1" applyBorder="1"/>
    <xf numFmtId="0" fontId="9" fillId="0" borderId="13" xfId="0" applyFont="1" applyBorder="1"/>
    <xf numFmtId="0" fontId="9" fillId="0" borderId="55" xfId="0" applyFont="1" applyBorder="1"/>
    <xf numFmtId="0" fontId="9" fillId="0" borderId="9" xfId="0" applyFont="1" applyBorder="1"/>
    <xf numFmtId="0" fontId="9" fillId="0" borderId="28" xfId="0" applyFont="1" applyBorder="1"/>
    <xf numFmtId="0" fontId="9" fillId="0" borderId="10" xfId="0" applyFont="1" applyBorder="1"/>
    <xf numFmtId="4" fontId="0" fillId="0" borderId="12" xfId="0" applyNumberFormat="1" applyBorder="1"/>
    <xf numFmtId="184" fontId="100" fillId="0" borderId="14" xfId="0" applyNumberFormat="1" applyFont="1" applyBorder="1"/>
    <xf numFmtId="184" fontId="100" fillId="0" borderId="3" xfId="0" applyNumberFormat="1" applyFont="1" applyBorder="1"/>
    <xf numFmtId="184" fontId="100" fillId="0" borderId="11" xfId="0" applyNumberFormat="1" applyFont="1" applyBorder="1"/>
    <xf numFmtId="184" fontId="100" fillId="0" borderId="0" xfId="0" applyNumberFormat="1" applyFont="1"/>
    <xf numFmtId="0" fontId="100" fillId="0" borderId="0" xfId="0" applyFont="1"/>
    <xf numFmtId="3" fontId="100" fillId="0" borderId="14" xfId="0" applyNumberFormat="1" applyFont="1" applyBorder="1"/>
    <xf numFmtId="192" fontId="100" fillId="0" borderId="3" xfId="0" applyNumberFormat="1" applyFont="1" applyBorder="1"/>
    <xf numFmtId="4" fontId="100" fillId="0" borderId="11" xfId="0" applyNumberFormat="1" applyFont="1" applyBorder="1"/>
    <xf numFmtId="3" fontId="100" fillId="0" borderId="0" xfId="0" applyNumberFormat="1" applyFont="1"/>
    <xf numFmtId="0" fontId="100" fillId="0" borderId="0" xfId="0" applyFont="1" applyAlignment="1">
      <alignment horizontal="center"/>
    </xf>
    <xf numFmtId="20" fontId="0" fillId="0" borderId="0" xfId="0" applyNumberFormat="1"/>
    <xf numFmtId="187" fontId="101" fillId="0" borderId="0" xfId="2" applyNumberFormat="1" applyFont="1" applyFill="1" applyAlignment="1" applyProtection="1">
      <alignment horizontal="center" vertical="center"/>
    </xf>
    <xf numFmtId="20" fontId="28" fillId="0" borderId="0" xfId="4" applyNumberFormat="1" applyFont="1" applyFill="1" applyBorder="1" applyAlignment="1" applyProtection="1">
      <alignment vertical="center"/>
    </xf>
    <xf numFmtId="20" fontId="9" fillId="0" borderId="0" xfId="4" applyNumberFormat="1" applyFont="1" applyFill="1" applyAlignment="1" applyProtection="1">
      <alignment vertical="center"/>
    </xf>
    <xf numFmtId="177" fontId="9" fillId="0" borderId="0" xfId="2" applyFont="1" applyFill="1" applyAlignment="1" applyProtection="1">
      <alignment vertical="center"/>
    </xf>
    <xf numFmtId="191" fontId="9" fillId="0" borderId="0" xfId="2" applyNumberFormat="1" applyFont="1" applyFill="1" applyAlignment="1" applyProtection="1">
      <alignment vertical="center"/>
    </xf>
    <xf numFmtId="187" fontId="38" fillId="0" borderId="0" xfId="2" applyNumberFormat="1" applyFont="1" applyFill="1" applyBorder="1" applyAlignment="1" applyProtection="1">
      <alignment vertical="center"/>
    </xf>
    <xf numFmtId="177" fontId="28" fillId="0" borderId="0" xfId="2" applyFont="1" applyFill="1" applyBorder="1" applyAlignment="1" applyProtection="1">
      <alignment vertical="center"/>
    </xf>
    <xf numFmtId="197" fontId="9" fillId="0" borderId="0" xfId="4" applyNumberFormat="1" applyFont="1" applyFill="1" applyAlignment="1" applyProtection="1">
      <alignment vertical="center"/>
    </xf>
    <xf numFmtId="177" fontId="9" fillId="0" borderId="0" xfId="4" applyNumberFormat="1" applyFont="1" applyFill="1" applyBorder="1" applyAlignment="1" applyProtection="1">
      <alignment vertical="center"/>
    </xf>
    <xf numFmtId="187" fontId="9" fillId="0" borderId="0" xfId="2" applyNumberFormat="1" applyFont="1" applyFill="1" applyAlignment="1" applyProtection="1">
      <alignment vertical="center"/>
    </xf>
    <xf numFmtId="3" fontId="28" fillId="0" borderId="0" xfId="4" applyNumberFormat="1" applyFont="1" applyFill="1" applyBorder="1" applyAlignment="1" applyProtection="1">
      <alignment vertical="center"/>
    </xf>
    <xf numFmtId="1" fontId="28" fillId="0" borderId="0" xfId="4" applyNumberFormat="1" applyFont="1" applyFill="1" applyBorder="1" applyAlignment="1" applyProtection="1">
      <alignment vertical="center"/>
    </xf>
    <xf numFmtId="182" fontId="9" fillId="4" borderId="0" xfId="4" applyNumberFormat="1" applyFont="1" applyFill="1" applyBorder="1" applyAlignment="1" applyProtection="1">
      <alignment horizontal="center" vertical="center"/>
    </xf>
    <xf numFmtId="192" fontId="17" fillId="0" borderId="59" xfId="4" applyNumberFormat="1" applyFont="1" applyFill="1" applyBorder="1" applyAlignment="1" applyProtection="1">
      <alignment horizontal="right" vertical="center"/>
      <protection locked="0"/>
    </xf>
    <xf numFmtId="3" fontId="21" fillId="4" borderId="76" xfId="4" applyNumberFormat="1" applyFont="1" applyFill="1" applyBorder="1" applyAlignment="1" applyProtection="1">
      <alignment horizontal="center" vertical="center"/>
      <protection locked="0"/>
    </xf>
    <xf numFmtId="177" fontId="0" fillId="0" borderId="0" xfId="2" applyFont="1"/>
    <xf numFmtId="2" fontId="21" fillId="0" borderId="37" xfId="0" applyNumberFormat="1" applyFont="1" applyBorder="1" applyAlignment="1">
      <alignment horizontal="center"/>
    </xf>
    <xf numFmtId="3" fontId="102" fillId="0" borderId="57" xfId="4" applyNumberFormat="1" applyFont="1" applyFill="1" applyBorder="1" applyAlignment="1" applyProtection="1">
      <alignment horizontal="right" vertical="center"/>
      <protection locked="0"/>
    </xf>
    <xf numFmtId="192" fontId="102" fillId="0" borderId="59" xfId="4" applyNumberFormat="1" applyFont="1" applyFill="1" applyBorder="1" applyAlignment="1" applyProtection="1">
      <alignment horizontal="right" vertical="center"/>
      <protection locked="0"/>
    </xf>
    <xf numFmtId="3" fontId="102" fillId="0" borderId="58" xfId="4" applyNumberFormat="1" applyFont="1" applyFill="1" applyBorder="1" applyAlignment="1" applyProtection="1">
      <alignment horizontal="right" vertical="center"/>
      <protection locked="0"/>
    </xf>
    <xf numFmtId="3" fontId="102" fillId="0" borderId="0" xfId="4" applyNumberFormat="1" applyFont="1" applyFill="1" applyBorder="1" applyAlignment="1" applyProtection="1">
      <alignment horizontal="right" vertical="center"/>
    </xf>
    <xf numFmtId="192" fontId="102" fillId="0" borderId="0" xfId="4" applyNumberFormat="1" applyFont="1" applyFill="1" applyBorder="1" applyAlignment="1" applyProtection="1">
      <alignment horizontal="right" vertical="center"/>
      <protection locked="0"/>
    </xf>
    <xf numFmtId="192" fontId="102" fillId="0" borderId="0" xfId="4" applyNumberFormat="1" applyFont="1" applyFill="1" applyBorder="1" applyAlignment="1" applyProtection="1">
      <alignment horizontal="right" vertical="center"/>
    </xf>
    <xf numFmtId="182" fontId="3" fillId="0" borderId="10" xfId="0" applyNumberFormat="1" applyFont="1" applyBorder="1" applyAlignment="1">
      <alignment horizontal="center"/>
    </xf>
    <xf numFmtId="0" fontId="55" fillId="0" borderId="0" xfId="0" applyFont="1"/>
    <xf numFmtId="0" fontId="9" fillId="12" borderId="0" xfId="4" applyFont="1" applyFill="1" applyAlignment="1" applyProtection="1">
      <alignment vertical="center"/>
    </xf>
    <xf numFmtId="3" fontId="99" fillId="12" borderId="0" xfId="4" applyNumberFormat="1" applyFont="1" applyFill="1" applyAlignment="1" applyProtection="1">
      <alignment horizontal="center" vertical="center"/>
    </xf>
    <xf numFmtId="3" fontId="72" fillId="12" borderId="0" xfId="4" applyNumberFormat="1" applyFont="1" applyFill="1" applyBorder="1" applyAlignment="1" applyProtection="1">
      <alignment horizontal="right" vertical="center"/>
    </xf>
    <xf numFmtId="196" fontId="99" fillId="12" borderId="0" xfId="6" applyNumberFormat="1" applyFont="1" applyFill="1" applyAlignment="1" applyProtection="1">
      <alignment horizontal="center" vertical="center"/>
    </xf>
    <xf numFmtId="3" fontId="99" fillId="12" borderId="0" xfId="4" applyNumberFormat="1" applyFont="1" applyFill="1" applyBorder="1" applyAlignment="1" applyProtection="1">
      <alignment horizontal="center" vertical="center"/>
    </xf>
    <xf numFmtId="0" fontId="9" fillId="12" borderId="0" xfId="4" applyFont="1" applyFill="1" applyBorder="1" applyAlignment="1" applyProtection="1">
      <alignment vertical="center"/>
    </xf>
    <xf numFmtId="0" fontId="102" fillId="12" borderId="0" xfId="0" applyFont="1" applyFill="1"/>
    <xf numFmtId="182" fontId="17" fillId="12" borderId="0" xfId="4" applyNumberFormat="1" applyFont="1" applyFill="1" applyBorder="1" applyAlignment="1" applyProtection="1">
      <alignment horizontal="center" vertical="center"/>
    </xf>
    <xf numFmtId="0" fontId="21" fillId="0" borderId="73" xfId="0" applyFont="1" applyFill="1" applyBorder="1" applyAlignment="1" applyProtection="1">
      <alignment horizontal="left"/>
      <protection locked="0"/>
    </xf>
    <xf numFmtId="185" fontId="21" fillId="0" borderId="74" xfId="2" applyNumberFormat="1" applyFont="1" applyFill="1" applyBorder="1" applyAlignment="1" applyProtection="1">
      <alignment horizontal="center"/>
      <protection locked="0"/>
    </xf>
    <xf numFmtId="185" fontId="21" fillId="0" borderId="75" xfId="2" applyNumberFormat="1" applyFont="1" applyFill="1" applyBorder="1" applyAlignment="1" applyProtection="1">
      <alignment horizontal="center"/>
      <protection locked="0"/>
    </xf>
    <xf numFmtId="185" fontId="21" fillId="0" borderId="77" xfId="2" applyNumberFormat="1" applyFont="1" applyFill="1" applyBorder="1" applyAlignment="1" applyProtection="1">
      <alignment horizontal="center"/>
      <protection locked="0"/>
    </xf>
    <xf numFmtId="185" fontId="21" fillId="0" borderId="23" xfId="2" applyNumberFormat="1" applyFont="1" applyFill="1" applyBorder="1" applyAlignment="1" applyProtection="1">
      <alignment horizontal="center"/>
      <protection locked="0"/>
    </xf>
    <xf numFmtId="185" fontId="21" fillId="0" borderId="38" xfId="2" applyNumberFormat="1" applyFont="1" applyFill="1" applyBorder="1" applyAlignment="1" applyProtection="1">
      <alignment horizontal="center"/>
      <protection locked="0"/>
    </xf>
    <xf numFmtId="197" fontId="3" fillId="0" borderId="59" xfId="4" applyNumberFormat="1" applyFont="1" applyFill="1" applyBorder="1" applyAlignment="1" applyProtection="1">
      <alignment horizontal="right" vertical="center"/>
    </xf>
    <xf numFmtId="10" fontId="99" fillId="12" borderId="0" xfId="6" applyNumberFormat="1" applyFont="1" applyFill="1" applyAlignment="1" applyProtection="1">
      <alignment horizontal="center" vertical="center"/>
    </xf>
    <xf numFmtId="2" fontId="17" fillId="5" borderId="76" xfId="4" applyNumberFormat="1" applyFont="1" applyFill="1" applyBorder="1" applyAlignment="1" applyProtection="1">
      <alignment horizontal="center" vertical="center"/>
    </xf>
    <xf numFmtId="20" fontId="28" fillId="0" borderId="60" xfId="4" applyNumberFormat="1" applyFont="1" applyFill="1" applyBorder="1" applyAlignment="1" applyProtection="1">
      <alignment vertical="center"/>
    </xf>
    <xf numFmtId="2" fontId="0" fillId="12" borderId="55" xfId="0" applyNumberFormat="1" applyFill="1" applyBorder="1"/>
    <xf numFmtId="3" fontId="0" fillId="12" borderId="0" xfId="0" applyNumberFormat="1" applyFill="1"/>
    <xf numFmtId="185" fontId="0" fillId="0" borderId="0" xfId="2" applyNumberFormat="1" applyFont="1"/>
    <xf numFmtId="177" fontId="3" fillId="12" borderId="0" xfId="2" applyNumberFormat="1" applyFont="1" applyFill="1" applyBorder="1" applyAlignment="1" applyProtection="1">
      <alignment horizontal="center" vertical="center"/>
    </xf>
    <xf numFmtId="9" fontId="28" fillId="0" borderId="0" xfId="6" applyFont="1" applyFill="1" applyBorder="1" applyAlignment="1" applyProtection="1">
      <alignment vertical="center"/>
    </xf>
    <xf numFmtId="0" fontId="103" fillId="0" borderId="0" xfId="0" applyFont="1"/>
    <xf numFmtId="9" fontId="0" fillId="0" borderId="0" xfId="0" applyNumberFormat="1"/>
    <xf numFmtId="4" fontId="28" fillId="0" borderId="0" xfId="4" applyNumberFormat="1" applyFont="1" applyFill="1" applyBorder="1" applyAlignment="1" applyProtection="1">
      <alignment vertical="center"/>
    </xf>
    <xf numFmtId="2" fontId="28" fillId="0" borderId="0" xfId="4" applyNumberFormat="1" applyFont="1" applyFill="1" applyBorder="1" applyAlignment="1" applyProtection="1">
      <alignment vertical="center"/>
    </xf>
    <xf numFmtId="198" fontId="38" fillId="0" borderId="0" xfId="4" applyNumberFormat="1" applyFont="1" applyFill="1" applyBorder="1" applyAlignment="1" applyProtection="1">
      <alignment horizontal="center" vertical="center"/>
    </xf>
    <xf numFmtId="0" fontId="34" fillId="7" borderId="47" xfId="4" applyFont="1" applyFill="1" applyBorder="1" applyAlignment="1" applyProtection="1">
      <alignment horizontal="center" vertical="center"/>
    </xf>
    <xf numFmtId="0" fontId="34" fillId="7" borderId="48" xfId="4" applyFont="1" applyFill="1" applyBorder="1" applyAlignment="1" applyProtection="1">
      <alignment horizontal="center" vertical="center"/>
    </xf>
    <xf numFmtId="0" fontId="34" fillId="7" borderId="49" xfId="4" applyFont="1" applyFill="1" applyBorder="1" applyAlignment="1" applyProtection="1">
      <alignment horizontal="center" vertical="center"/>
    </xf>
    <xf numFmtId="0" fontId="2" fillId="7" borderId="57" xfId="4" applyFont="1" applyFill="1" applyBorder="1" applyAlignment="1" applyProtection="1">
      <alignment horizontal="center" vertical="center"/>
    </xf>
    <xf numFmtId="0" fontId="2" fillId="7" borderId="58" xfId="4" applyFont="1" applyFill="1" applyBorder="1" applyAlignment="1" applyProtection="1">
      <alignment horizontal="center" vertical="center"/>
    </xf>
    <xf numFmtId="0" fontId="2" fillId="7" borderId="18" xfId="4" applyFont="1" applyFill="1" applyBorder="1" applyAlignment="1" applyProtection="1">
      <alignment horizontal="center" vertical="center"/>
    </xf>
    <xf numFmtId="0" fontId="2" fillId="7" borderId="20" xfId="4" applyFont="1" applyFill="1" applyBorder="1" applyAlignment="1" applyProtection="1">
      <alignment horizontal="center" vertical="center"/>
    </xf>
    <xf numFmtId="0" fontId="2" fillId="7" borderId="22" xfId="4" applyFont="1" applyFill="1" applyBorder="1" applyAlignment="1" applyProtection="1">
      <alignment horizontal="center" vertical="center"/>
    </xf>
    <xf numFmtId="0" fontId="2" fillId="7" borderId="6" xfId="4" applyFont="1" applyFill="1" applyBorder="1" applyAlignment="1" applyProtection="1">
      <alignment horizontal="center" vertical="center"/>
    </xf>
    <xf numFmtId="0" fontId="32" fillId="0" borderId="47" xfId="4" applyFont="1" applyBorder="1" applyAlignment="1">
      <alignment horizontal="center" vertical="center"/>
    </xf>
    <xf numFmtId="0" fontId="32" fillId="0" borderId="48" xfId="4" applyFont="1" applyBorder="1" applyAlignment="1">
      <alignment horizontal="center" vertical="center"/>
    </xf>
    <xf numFmtId="0" fontId="32" fillId="0" borderId="49" xfId="4" applyFont="1" applyBorder="1" applyAlignment="1">
      <alignment horizontal="center" vertical="center"/>
    </xf>
    <xf numFmtId="2" fontId="34" fillId="7" borderId="47" xfId="4" applyNumberFormat="1" applyFont="1" applyFill="1" applyBorder="1" applyAlignment="1" applyProtection="1">
      <alignment horizontal="center" vertical="center"/>
    </xf>
    <xf numFmtId="2" fontId="34" fillId="7" borderId="48" xfId="4" applyNumberFormat="1" applyFont="1" applyFill="1" applyBorder="1" applyAlignment="1" applyProtection="1">
      <alignment horizontal="center" vertical="center"/>
    </xf>
    <xf numFmtId="2" fontId="34" fillId="7" borderId="49" xfId="4" applyNumberFormat="1" applyFont="1" applyFill="1" applyBorder="1" applyAlignment="1" applyProtection="1">
      <alignment horizontal="center" vertical="center"/>
    </xf>
    <xf numFmtId="0" fontId="41" fillId="11" borderId="57" xfId="4" applyFont="1" applyFill="1" applyBorder="1" applyAlignment="1" applyProtection="1">
      <alignment horizontal="center" vertical="center" wrapText="1"/>
    </xf>
    <xf numFmtId="0" fontId="41" fillId="11" borderId="58" xfId="4" applyFont="1" applyFill="1" applyBorder="1" applyAlignment="1" applyProtection="1">
      <alignment horizontal="center" vertical="center"/>
    </xf>
    <xf numFmtId="0" fontId="41" fillId="11" borderId="18" xfId="4" applyFont="1" applyFill="1" applyBorder="1" applyAlignment="1" applyProtection="1">
      <alignment horizontal="center" vertical="center"/>
    </xf>
    <xf numFmtId="0" fontId="41" fillId="11" borderId="20" xfId="4" applyFont="1" applyFill="1" applyBorder="1" applyAlignment="1" applyProtection="1">
      <alignment horizontal="center" vertical="center"/>
    </xf>
    <xf numFmtId="0" fontId="41" fillId="11" borderId="22" xfId="4" applyFont="1" applyFill="1" applyBorder="1" applyAlignment="1" applyProtection="1">
      <alignment horizontal="center" vertical="center"/>
    </xf>
    <xf numFmtId="0" fontId="41" fillId="11" borderId="6" xfId="4" applyFont="1" applyFill="1" applyBorder="1" applyAlignment="1" applyProtection="1">
      <alignment horizontal="center" vertical="center"/>
    </xf>
    <xf numFmtId="0" fontId="33" fillId="7" borderId="47" xfId="4" applyFont="1" applyFill="1" applyBorder="1" applyAlignment="1" applyProtection="1">
      <alignment horizontal="center"/>
    </xf>
    <xf numFmtId="0" fontId="33" fillId="7" borderId="48" xfId="4" applyFont="1" applyFill="1" applyBorder="1" applyAlignment="1" applyProtection="1">
      <alignment horizontal="center"/>
    </xf>
    <xf numFmtId="0" fontId="33" fillId="7" borderId="49" xfId="4" applyFont="1" applyFill="1" applyBorder="1" applyAlignment="1" applyProtection="1">
      <alignment horizontal="center"/>
    </xf>
    <xf numFmtId="193" fontId="2" fillId="0" borderId="22" xfId="4" applyNumberFormat="1" applyFont="1" applyBorder="1" applyAlignment="1" applyProtection="1">
      <alignment horizontal="right"/>
    </xf>
    <xf numFmtId="0" fontId="33" fillId="7" borderId="47" xfId="4" applyFont="1" applyFill="1" applyBorder="1" applyAlignment="1">
      <alignment horizontal="center"/>
    </xf>
    <xf numFmtId="0" fontId="33" fillId="7" borderId="48" xfId="4" applyFont="1" applyFill="1" applyBorder="1" applyAlignment="1">
      <alignment horizontal="center"/>
    </xf>
    <xf numFmtId="0" fontId="33" fillId="7" borderId="49" xfId="4" applyFont="1" applyFill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56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0" fontId="0" fillId="0" borderId="0" xfId="0" applyAlignment="1">
      <alignment horizontal="center"/>
    </xf>
    <xf numFmtId="182" fontId="9" fillId="0" borderId="8" xfId="0" applyNumberFormat="1" applyFont="1" applyFill="1" applyBorder="1" applyAlignment="1">
      <alignment horizontal="center" vertical="center"/>
    </xf>
    <xf numFmtId="182" fontId="9" fillId="0" borderId="3" xfId="0" applyNumberFormat="1" applyFont="1" applyFill="1" applyBorder="1" applyAlignment="1">
      <alignment horizontal="center" vertical="center"/>
    </xf>
    <xf numFmtId="182" fontId="9" fillId="0" borderId="11" xfId="0" applyNumberFormat="1" applyFont="1" applyFill="1" applyBorder="1" applyAlignment="1">
      <alignment horizontal="center" vertical="center"/>
    </xf>
    <xf numFmtId="182" fontId="9" fillId="0" borderId="37" xfId="0" applyNumberFormat="1" applyFont="1" applyFill="1" applyBorder="1" applyAlignment="1">
      <alignment horizontal="center" vertical="center"/>
    </xf>
    <xf numFmtId="0" fontId="3" fillId="0" borderId="68" xfId="0" applyFont="1" applyBorder="1" applyAlignment="1">
      <alignment horizontal="center" vertical="center" wrapText="1"/>
    </xf>
    <xf numFmtId="0" fontId="3" fillId="0" borderId="42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182" fontId="9" fillId="0" borderId="67" xfId="0" applyNumberFormat="1" applyFont="1" applyFill="1" applyBorder="1" applyAlignment="1">
      <alignment horizontal="center" vertical="center"/>
    </xf>
    <xf numFmtId="182" fontId="9" fillId="0" borderId="85" xfId="0" applyNumberFormat="1" applyFont="1" applyFill="1" applyBorder="1" applyAlignment="1">
      <alignment horizontal="center" vertical="center"/>
    </xf>
    <xf numFmtId="182" fontId="9" fillId="0" borderId="63" xfId="0" applyNumberFormat="1" applyFont="1" applyFill="1" applyBorder="1" applyAlignment="1">
      <alignment horizontal="center" vertical="center"/>
    </xf>
    <xf numFmtId="182" fontId="9" fillId="0" borderId="63" xfId="0" applyNumberFormat="1" applyFont="1" applyBorder="1" applyAlignment="1">
      <alignment horizontal="center" vertical="center"/>
    </xf>
    <xf numFmtId="182" fontId="9" fillId="0" borderId="67" xfId="0" applyNumberFormat="1" applyFont="1" applyBorder="1" applyAlignment="1">
      <alignment horizontal="center" vertical="center"/>
    </xf>
    <xf numFmtId="182" fontId="9" fillId="0" borderId="2" xfId="0" applyNumberFormat="1" applyFont="1" applyFill="1" applyBorder="1" applyAlignment="1">
      <alignment horizontal="center" vertical="center"/>
    </xf>
    <xf numFmtId="182" fontId="9" fillId="0" borderId="57" xfId="0" applyNumberFormat="1" applyFont="1" applyFill="1" applyBorder="1" applyAlignment="1">
      <alignment horizontal="center" vertical="center"/>
    </xf>
    <xf numFmtId="182" fontId="9" fillId="0" borderId="59" xfId="0" applyNumberFormat="1" applyFont="1" applyFill="1" applyBorder="1" applyAlignment="1">
      <alignment horizontal="center" vertical="center"/>
    </xf>
    <xf numFmtId="182" fontId="9" fillId="0" borderId="84" xfId="0" applyNumberFormat="1" applyFont="1" applyFill="1" applyBorder="1" applyAlignment="1">
      <alignment horizontal="center" vertical="center"/>
    </xf>
    <xf numFmtId="182" fontId="9" fillId="0" borderId="75" xfId="0" applyNumberFormat="1" applyFont="1" applyFill="1" applyBorder="1" applyAlignment="1">
      <alignment horizontal="center" vertical="center"/>
    </xf>
    <xf numFmtId="0" fontId="3" fillId="3" borderId="69" xfId="0" applyFont="1" applyFill="1" applyBorder="1" applyAlignment="1">
      <alignment horizontal="center" vertical="center" wrapText="1"/>
    </xf>
    <xf numFmtId="0" fontId="3" fillId="3" borderId="72" xfId="0" applyFont="1" applyFill="1" applyBorder="1" applyAlignment="1">
      <alignment horizontal="center" vertical="center" wrapText="1"/>
    </xf>
    <xf numFmtId="182" fontId="9" fillId="0" borderId="69" xfId="0" applyNumberFormat="1" applyFont="1" applyBorder="1" applyAlignment="1">
      <alignment horizontal="center" vertical="center"/>
    </xf>
    <xf numFmtId="182" fontId="9" fillId="0" borderId="64" xfId="0" applyNumberFormat="1" applyFont="1" applyBorder="1" applyAlignment="1">
      <alignment horizontal="center" vertical="center"/>
    </xf>
    <xf numFmtId="182" fontId="9" fillId="0" borderId="66" xfId="0" applyNumberFormat="1" applyFont="1" applyFill="1" applyBorder="1" applyAlignment="1">
      <alignment horizontal="center" vertical="center"/>
    </xf>
    <xf numFmtId="182" fontId="9" fillId="0" borderId="89" xfId="0" applyNumberFormat="1" applyFont="1" applyFill="1" applyBorder="1" applyAlignment="1">
      <alignment horizontal="center" vertical="center"/>
    </xf>
    <xf numFmtId="182" fontId="9" fillId="0" borderId="89" xfId="0" applyNumberFormat="1" applyFont="1" applyBorder="1" applyAlignment="1">
      <alignment horizontal="center" vertical="center"/>
    </xf>
    <xf numFmtId="182" fontId="9" fillId="0" borderId="38" xfId="0" applyNumberFormat="1" applyFont="1" applyBorder="1" applyAlignment="1">
      <alignment horizontal="center" vertical="center"/>
    </xf>
    <xf numFmtId="0" fontId="3" fillId="5" borderId="54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82" fontId="9" fillId="0" borderId="37" xfId="0" applyNumberFormat="1" applyFont="1" applyBorder="1" applyAlignment="1">
      <alignment horizontal="center" vertical="center"/>
    </xf>
    <xf numFmtId="182" fontId="9" fillId="0" borderId="14" xfId="0" applyNumberFormat="1" applyFont="1" applyBorder="1" applyAlignment="1">
      <alignment horizontal="center" vertical="center"/>
    </xf>
    <xf numFmtId="182" fontId="9" fillId="0" borderId="4" xfId="0" applyNumberFormat="1" applyFont="1" applyBorder="1" applyAlignment="1">
      <alignment horizontal="center" vertical="center"/>
    </xf>
    <xf numFmtId="182" fontId="9" fillId="0" borderId="88" xfId="0" applyNumberFormat="1" applyFont="1" applyBorder="1" applyAlignment="1">
      <alignment horizontal="center" vertical="center"/>
    </xf>
    <xf numFmtId="182" fontId="9" fillId="0" borderId="43" xfId="0" applyNumberFormat="1" applyFont="1" applyBorder="1" applyAlignment="1">
      <alignment horizontal="center" vertical="center"/>
    </xf>
    <xf numFmtId="182" fontId="9" fillId="0" borderId="14" xfId="0" applyNumberFormat="1" applyFont="1" applyFill="1" applyBorder="1" applyAlignment="1">
      <alignment horizontal="center" vertical="center"/>
    </xf>
    <xf numFmtId="182" fontId="9" fillId="0" borderId="38" xfId="0" applyNumberFormat="1" applyFont="1" applyFill="1" applyBorder="1" applyAlignment="1">
      <alignment horizontal="center" vertical="center"/>
    </xf>
    <xf numFmtId="182" fontId="9" fillId="0" borderId="46" xfId="0" applyNumberFormat="1" applyFont="1" applyFill="1" applyBorder="1" applyAlignment="1">
      <alignment horizontal="center" vertical="center"/>
    </xf>
    <xf numFmtId="182" fontId="9" fillId="0" borderId="61" xfId="0" applyNumberFormat="1" applyFont="1" applyFill="1" applyBorder="1" applyAlignment="1">
      <alignment horizontal="center" vertical="center"/>
    </xf>
    <xf numFmtId="182" fontId="9" fillId="0" borderId="29" xfId="0" applyNumberFormat="1" applyFont="1" applyFill="1" applyBorder="1" applyAlignment="1">
      <alignment horizontal="center" vertical="center"/>
    </xf>
    <xf numFmtId="182" fontId="9" fillId="0" borderId="35" xfId="0" applyNumberFormat="1" applyFont="1" applyBorder="1" applyAlignment="1">
      <alignment horizontal="center" vertical="center"/>
    </xf>
    <xf numFmtId="182" fontId="9" fillId="0" borderId="78" xfId="0" applyNumberFormat="1" applyFont="1" applyBorder="1" applyAlignment="1">
      <alignment horizontal="center" vertical="center"/>
    </xf>
    <xf numFmtId="182" fontId="9" fillId="0" borderId="41" xfId="0" applyNumberFormat="1" applyFont="1" applyBorder="1" applyAlignment="1">
      <alignment horizontal="center" vertical="center"/>
    </xf>
    <xf numFmtId="182" fontId="9" fillId="0" borderId="18" xfId="0" applyNumberFormat="1" applyFont="1" applyFill="1" applyBorder="1" applyAlignment="1">
      <alignment horizontal="center" vertical="center"/>
    </xf>
    <xf numFmtId="182" fontId="9" fillId="0" borderId="60" xfId="0" applyNumberFormat="1" applyFont="1" applyFill="1" applyBorder="1" applyAlignment="1">
      <alignment horizontal="center" vertical="center"/>
    </xf>
    <xf numFmtId="182" fontId="9" fillId="0" borderId="56" xfId="0" applyNumberFormat="1" applyFont="1" applyBorder="1" applyAlignment="1">
      <alignment horizontal="center" vertical="center"/>
    </xf>
    <xf numFmtId="189" fontId="3" fillId="0" borderId="35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182" fontId="9" fillId="0" borderId="36" xfId="0" applyNumberFormat="1" applyFont="1" applyBorder="1" applyAlignment="1">
      <alignment horizontal="center" vertical="center"/>
    </xf>
    <xf numFmtId="182" fontId="9" fillId="0" borderId="68" xfId="0" applyNumberFormat="1" applyFont="1" applyFill="1" applyBorder="1" applyAlignment="1">
      <alignment horizontal="center" vertical="center"/>
    </xf>
    <xf numFmtId="182" fontId="9" fillId="0" borderId="82" xfId="0" applyNumberFormat="1" applyFont="1" applyFill="1" applyBorder="1" applyAlignment="1">
      <alignment horizontal="center" vertical="center"/>
    </xf>
    <xf numFmtId="182" fontId="9" fillId="0" borderId="65" xfId="0" applyNumberFormat="1" applyFont="1" applyFill="1" applyBorder="1" applyAlignment="1">
      <alignment horizontal="center" vertical="center"/>
    </xf>
    <xf numFmtId="182" fontId="9" fillId="0" borderId="30" xfId="0" applyNumberFormat="1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13" fillId="0" borderId="57" xfId="0" applyFont="1" applyFill="1" applyBorder="1" applyAlignment="1">
      <alignment horizontal="center" vertical="center"/>
    </xf>
    <xf numFmtId="0" fontId="13" fillId="0" borderId="59" xfId="0" applyFont="1" applyFill="1" applyBorder="1" applyAlignment="1">
      <alignment horizontal="center" vertical="center"/>
    </xf>
    <xf numFmtId="189" fontId="3" fillId="0" borderId="78" xfId="0" applyNumberFormat="1" applyFont="1" applyBorder="1" applyAlignment="1">
      <alignment horizontal="center" vertical="center"/>
    </xf>
    <xf numFmtId="189" fontId="3" fillId="0" borderId="61" xfId="0" applyNumberFormat="1" applyFont="1" applyBorder="1" applyAlignment="1">
      <alignment horizontal="center" vertical="center"/>
    </xf>
    <xf numFmtId="189" fontId="3" fillId="0" borderId="21" xfId="0" applyNumberFormat="1" applyFont="1" applyBorder="1" applyAlignment="1">
      <alignment horizontal="center" vertical="center"/>
    </xf>
    <xf numFmtId="189" fontId="3" fillId="0" borderId="87" xfId="0" applyNumberFormat="1" applyFont="1" applyFill="1" applyBorder="1" applyAlignment="1">
      <alignment horizontal="center" vertical="center"/>
    </xf>
    <xf numFmtId="189" fontId="3" fillId="0" borderId="29" xfId="0" applyNumberFormat="1" applyFont="1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4" fillId="9" borderId="46" xfId="0" applyFont="1" applyFill="1" applyBorder="1" applyAlignment="1">
      <alignment horizontal="center" vertical="center" wrapText="1"/>
    </xf>
    <xf numFmtId="0" fontId="14" fillId="9" borderId="61" xfId="0" applyFont="1" applyFill="1" applyBorder="1" applyAlignment="1">
      <alignment horizontal="center" vertical="center" wrapText="1"/>
    </xf>
    <xf numFmtId="0" fontId="14" fillId="9" borderId="21" xfId="0" applyFont="1" applyFill="1" applyBorder="1" applyAlignment="1">
      <alignment horizontal="center" vertical="center" wrapText="1"/>
    </xf>
    <xf numFmtId="0" fontId="3" fillId="5" borderId="46" xfId="0" applyFont="1" applyFill="1" applyBorder="1" applyAlignment="1">
      <alignment horizontal="center" vertical="center" wrapText="1"/>
    </xf>
    <xf numFmtId="0" fontId="3" fillId="5" borderId="61" xfId="0" applyFont="1" applyFill="1" applyBorder="1" applyAlignment="1">
      <alignment horizontal="center" vertical="center" wrapText="1"/>
    </xf>
    <xf numFmtId="0" fontId="3" fillId="5" borderId="2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45" xfId="0" applyFont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2" xfId="0" applyFont="1" applyFill="1" applyBorder="1" applyAlignment="1">
      <alignment horizontal="center" vertical="center" wrapText="1"/>
    </xf>
    <xf numFmtId="0" fontId="3" fillId="7" borderId="46" xfId="0" applyFont="1" applyFill="1" applyBorder="1" applyAlignment="1">
      <alignment horizontal="center" vertical="center" wrapText="1"/>
    </xf>
    <xf numFmtId="0" fontId="3" fillId="7" borderId="61" xfId="0" applyFont="1" applyFill="1" applyBorder="1" applyAlignment="1">
      <alignment horizontal="center" vertical="center" wrapText="1"/>
    </xf>
    <xf numFmtId="0" fontId="3" fillId="7" borderId="21" xfId="0" applyFont="1" applyFill="1" applyBorder="1" applyAlignment="1">
      <alignment horizontal="center" vertical="center" wrapText="1"/>
    </xf>
    <xf numFmtId="0" fontId="3" fillId="6" borderId="46" xfId="0" applyFont="1" applyFill="1" applyBorder="1" applyAlignment="1">
      <alignment horizontal="center" vertical="center" wrapText="1"/>
    </xf>
    <xf numFmtId="0" fontId="3" fillId="6" borderId="61" xfId="0" applyFont="1" applyFill="1" applyBorder="1" applyAlignment="1">
      <alignment horizontal="center" vertical="center" wrapText="1"/>
    </xf>
    <xf numFmtId="0" fontId="3" fillId="6" borderId="21" xfId="0" applyFont="1" applyFill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79" xfId="0" applyFont="1" applyFill="1" applyBorder="1" applyAlignment="1">
      <alignment horizontal="center" vertical="center" wrapText="1"/>
    </xf>
    <xf numFmtId="0" fontId="3" fillId="3" borderId="80" xfId="0" applyFont="1" applyFill="1" applyBorder="1" applyAlignment="1">
      <alignment horizontal="center" vertical="center" wrapText="1"/>
    </xf>
    <xf numFmtId="177" fontId="2" fillId="0" borderId="37" xfId="2" applyNumberFormat="1" applyFont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182" fontId="9" fillId="0" borderId="29" xfId="0" applyNumberFormat="1" applyFont="1" applyBorder="1" applyAlignment="1">
      <alignment horizontal="center" vertical="center"/>
    </xf>
    <xf numFmtId="185" fontId="2" fillId="0" borderId="34" xfId="2" applyNumberFormat="1" applyFont="1" applyBorder="1" applyAlignment="1">
      <alignment horizontal="center" vertical="center"/>
    </xf>
    <xf numFmtId="185" fontId="2" fillId="0" borderId="33" xfId="2" applyNumberFormat="1" applyFont="1" applyBorder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182" fontId="9" fillId="0" borderId="35" xfId="0" applyNumberFormat="1" applyFont="1" applyFill="1" applyBorder="1" applyAlignment="1">
      <alignment horizontal="center" vertical="center"/>
    </xf>
    <xf numFmtId="182" fontId="9" fillId="0" borderId="2" xfId="0" applyNumberFormat="1" applyFont="1" applyBorder="1" applyAlignment="1">
      <alignment horizontal="center" vertical="center"/>
    </xf>
    <xf numFmtId="0" fontId="3" fillId="5" borderId="5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5" fontId="2" fillId="0" borderId="37" xfId="2" applyNumberFormat="1" applyFont="1" applyBorder="1" applyAlignment="1">
      <alignment horizontal="center" vertical="center"/>
    </xf>
    <xf numFmtId="182" fontId="9" fillId="0" borderId="68" xfId="0" applyNumberFormat="1" applyFont="1" applyBorder="1" applyAlignment="1">
      <alignment horizontal="center" vertical="center"/>
    </xf>
    <xf numFmtId="182" fontId="9" fillId="0" borderId="5" xfId="0" applyNumberFormat="1" applyFont="1" applyBorder="1" applyAlignment="1">
      <alignment horizontal="center" vertical="center"/>
    </xf>
    <xf numFmtId="182" fontId="9" fillId="0" borderId="15" xfId="0" applyNumberFormat="1" applyFont="1" applyBorder="1" applyAlignment="1">
      <alignment horizontal="center" vertical="center"/>
    </xf>
    <xf numFmtId="182" fontId="9" fillId="0" borderId="86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4" borderId="57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4" borderId="84" xfId="0" applyFont="1" applyFill="1" applyBorder="1" applyAlignment="1">
      <alignment horizontal="center" vertical="center" wrapText="1"/>
    </xf>
    <xf numFmtId="0" fontId="3" fillId="4" borderId="85" xfId="0" applyFont="1" applyFill="1" applyBorder="1" applyAlignment="1">
      <alignment horizontal="center" vertical="center" wrapText="1"/>
    </xf>
    <xf numFmtId="2" fontId="13" fillId="0" borderId="65" xfId="0" applyNumberFormat="1" applyFont="1" applyBorder="1" applyAlignment="1">
      <alignment horizontal="center" vertical="center"/>
    </xf>
    <xf numFmtId="2" fontId="13" fillId="0" borderId="82" xfId="0" applyNumberFormat="1" applyFont="1" applyBorder="1" applyAlignment="1">
      <alignment horizontal="center" vertical="center"/>
    </xf>
    <xf numFmtId="2" fontId="13" fillId="0" borderId="42" xfId="0" applyNumberFormat="1" applyFont="1" applyBorder="1" applyAlignment="1">
      <alignment horizontal="center" vertical="center"/>
    </xf>
    <xf numFmtId="182" fontId="9" fillId="0" borderId="58" xfId="0" applyNumberFormat="1" applyFont="1" applyFill="1" applyBorder="1" applyAlignment="1">
      <alignment horizontal="center" vertical="center"/>
    </xf>
    <xf numFmtId="182" fontId="9" fillId="0" borderId="0" xfId="0" applyNumberFormat="1" applyFont="1" applyFill="1" applyBorder="1" applyAlignment="1">
      <alignment horizontal="center" vertical="center"/>
    </xf>
    <xf numFmtId="182" fontId="9" fillId="0" borderId="12" xfId="0" applyNumberFormat="1" applyFont="1" applyFill="1" applyBorder="1" applyAlignment="1">
      <alignment horizontal="center" vertical="center"/>
    </xf>
    <xf numFmtId="2" fontId="12" fillId="0" borderId="18" xfId="0" applyNumberFormat="1" applyFont="1" applyFill="1" applyBorder="1" applyAlignment="1">
      <alignment horizontal="center" vertical="center"/>
    </xf>
    <xf numFmtId="2" fontId="12" fillId="0" borderId="60" xfId="0" applyNumberFormat="1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182" fontId="9" fillId="0" borderId="56" xfId="0" applyNumberFormat="1" applyFont="1" applyFill="1" applyBorder="1" applyAlignment="1">
      <alignment horizontal="center" vertical="center"/>
    </xf>
    <xf numFmtId="188" fontId="4" fillId="0" borderId="81" xfId="0" applyNumberFormat="1" applyFont="1" applyBorder="1" applyAlignment="1">
      <alignment horizontal="center" vertical="center" wrapText="1"/>
    </xf>
    <xf numFmtId="188" fontId="4" fillId="0" borderId="82" xfId="0" applyNumberFormat="1" applyFont="1" applyBorder="1" applyAlignment="1">
      <alignment horizontal="center" vertical="center" wrapText="1"/>
    </xf>
    <xf numFmtId="188" fontId="4" fillId="0" borderId="42" xfId="0" applyNumberFormat="1" applyFont="1" applyBorder="1" applyAlignment="1">
      <alignment horizontal="center" vertical="center" wrapText="1"/>
    </xf>
    <xf numFmtId="182" fontId="9" fillId="0" borderId="45" xfId="0" applyNumberFormat="1" applyFont="1" applyBorder="1" applyAlignment="1">
      <alignment horizontal="center" vertical="center"/>
    </xf>
    <xf numFmtId="0" fontId="3" fillId="5" borderId="46" xfId="0" applyFont="1" applyFill="1" applyBorder="1" applyAlignment="1">
      <alignment horizontal="center" vertical="center"/>
    </xf>
    <xf numFmtId="0" fontId="3" fillId="5" borderId="83" xfId="0" applyFont="1" applyFill="1" applyBorder="1" applyAlignment="1">
      <alignment horizontal="center" vertical="center"/>
    </xf>
    <xf numFmtId="0" fontId="3" fillId="5" borderId="65" xfId="0" applyFont="1" applyFill="1" applyBorder="1" applyAlignment="1">
      <alignment horizontal="center" vertical="center" wrapText="1"/>
    </xf>
    <xf numFmtId="0" fontId="3" fillId="5" borderId="25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3" fillId="7" borderId="47" xfId="0" applyFont="1" applyFill="1" applyBorder="1" applyAlignment="1">
      <alignment horizontal="center" vertical="center"/>
    </xf>
    <xf numFmtId="0" fontId="3" fillId="7" borderId="48" xfId="0" applyFont="1" applyFill="1" applyBorder="1" applyAlignment="1">
      <alignment horizontal="center" vertical="center"/>
    </xf>
    <xf numFmtId="0" fontId="3" fillId="7" borderId="49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79" xfId="0" applyFont="1" applyFill="1" applyBorder="1" applyAlignment="1">
      <alignment horizontal="center" vertical="center" wrapTex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69" xfId="0" applyFont="1" applyFill="1" applyBorder="1" applyAlignment="1">
      <alignment horizontal="center" vertical="center" wrapText="1"/>
    </xf>
    <xf numFmtId="0" fontId="3" fillId="5" borderId="72" xfId="0" applyFont="1" applyFill="1" applyBorder="1" applyAlignment="1">
      <alignment horizontal="center" vertical="center" wrapText="1"/>
    </xf>
    <xf numFmtId="2" fontId="13" fillId="0" borderId="46" xfId="0" applyNumberFormat="1" applyFont="1" applyBorder="1" applyAlignment="1">
      <alignment horizontal="center" vertical="center"/>
    </xf>
    <xf numFmtId="2" fontId="13" fillId="0" borderId="61" xfId="0" applyNumberFormat="1" applyFont="1" applyBorder="1" applyAlignment="1">
      <alignment horizontal="center" vertical="center"/>
    </xf>
    <xf numFmtId="2" fontId="13" fillId="0" borderId="29" xfId="0" applyNumberFormat="1" applyFont="1" applyBorder="1" applyAlignment="1">
      <alignment horizontal="center" vertical="center"/>
    </xf>
    <xf numFmtId="2" fontId="13" fillId="0" borderId="78" xfId="0" applyNumberFormat="1" applyFont="1" applyBorder="1" applyAlignment="1">
      <alignment horizontal="center" vertical="center"/>
    </xf>
    <xf numFmtId="2" fontId="13" fillId="0" borderId="21" xfId="0" applyNumberFormat="1" applyFont="1" applyBorder="1" applyAlignment="1">
      <alignment horizontal="center" vertical="center"/>
    </xf>
    <xf numFmtId="182" fontId="9" fillId="0" borderId="12" xfId="0" applyNumberFormat="1" applyFont="1" applyBorder="1" applyAlignment="1">
      <alignment horizontal="center" vertical="center"/>
    </xf>
    <xf numFmtId="182" fontId="9" fillId="0" borderId="0" xfId="0" applyNumberFormat="1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16" fillId="0" borderId="57" xfId="3" applyFont="1" applyFill="1" applyBorder="1" applyAlignment="1" applyProtection="1">
      <alignment horizontal="center" vertical="center"/>
    </xf>
    <xf numFmtId="0" fontId="16" fillId="0" borderId="58" xfId="3" applyFont="1" applyFill="1" applyBorder="1" applyAlignment="1" applyProtection="1">
      <alignment horizontal="center" vertical="center"/>
    </xf>
    <xf numFmtId="0" fontId="16" fillId="0" borderId="18" xfId="3" applyFont="1" applyFill="1" applyBorder="1" applyAlignment="1" applyProtection="1">
      <alignment horizontal="center" vertical="center"/>
    </xf>
    <xf numFmtId="0" fontId="16" fillId="0" borderId="20" xfId="3" applyFont="1" applyFill="1" applyBorder="1" applyAlignment="1" applyProtection="1">
      <alignment horizontal="center" vertical="center"/>
    </xf>
    <xf numFmtId="0" fontId="16" fillId="0" borderId="22" xfId="3" applyFont="1" applyFill="1" applyBorder="1" applyAlignment="1" applyProtection="1">
      <alignment horizontal="center" vertical="center"/>
    </xf>
    <xf numFmtId="0" fontId="16" fillId="0" borderId="6" xfId="3" applyFont="1" applyFill="1" applyBorder="1" applyAlignment="1" applyProtection="1">
      <alignment horizontal="center" vertical="center"/>
    </xf>
    <xf numFmtId="0" fontId="49" fillId="0" borderId="34" xfId="3" applyFont="1" applyFill="1" applyBorder="1" applyAlignment="1" applyProtection="1">
      <alignment horizontal="center" vertical="center"/>
    </xf>
    <xf numFmtId="0" fontId="49" fillId="0" borderId="56" xfId="3" applyFont="1" applyFill="1" applyBorder="1" applyAlignment="1" applyProtection="1">
      <alignment horizontal="center" vertical="center"/>
    </xf>
    <xf numFmtId="0" fontId="49" fillId="0" borderId="33" xfId="3" applyFont="1" applyFill="1" applyBorder="1" applyAlignment="1" applyProtection="1">
      <alignment horizontal="center" vertical="center"/>
    </xf>
    <xf numFmtId="0" fontId="2" fillId="0" borderId="0" xfId="3" applyFont="1" applyFill="1" applyBorder="1" applyAlignment="1" applyProtection="1">
      <alignment horizontal="center" vertical="center"/>
    </xf>
    <xf numFmtId="0" fontId="5" fillId="0" borderId="34" xfId="3" applyFont="1" applyFill="1" applyBorder="1" applyAlignment="1" applyProtection="1">
      <alignment horizontal="center" vertical="center"/>
    </xf>
    <xf numFmtId="0" fontId="5" fillId="0" borderId="56" xfId="3" applyFont="1" applyFill="1" applyBorder="1" applyAlignment="1" applyProtection="1">
      <alignment horizontal="center" vertical="center"/>
    </xf>
    <xf numFmtId="0" fontId="5" fillId="0" borderId="33" xfId="3" applyFont="1" applyFill="1" applyBorder="1" applyAlignment="1" applyProtection="1">
      <alignment horizontal="center" vertical="center"/>
    </xf>
    <xf numFmtId="0" fontId="13" fillId="0" borderId="47" xfId="3" applyFont="1" applyFill="1" applyBorder="1" applyAlignment="1" applyProtection="1">
      <alignment horizontal="center" vertical="center"/>
    </xf>
    <xf numFmtId="0" fontId="13" fillId="0" borderId="48" xfId="3" applyFont="1" applyFill="1" applyBorder="1" applyAlignment="1" applyProtection="1">
      <alignment horizontal="center" vertical="center"/>
    </xf>
    <xf numFmtId="0" fontId="13" fillId="0" borderId="49" xfId="3" applyFont="1" applyFill="1" applyBorder="1" applyAlignment="1" applyProtection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7">
    <cellStyle name="Euro" xfId="1" xr:uid="{89067026-23E4-4B9A-871F-6E601627E411}"/>
    <cellStyle name="Millares" xfId="2" builtinId="3"/>
    <cellStyle name="Normal" xfId="0" builtinId="0"/>
    <cellStyle name="Normal_BAL" xfId="3" xr:uid="{DE32A58D-9B91-428D-86DB-36F03B36FAC4}"/>
    <cellStyle name="Normal_CPSBal-Mod" xfId="4" xr:uid="{C1C3D8EA-3EBB-45ED-B8A8-0AA936E75BDB}"/>
    <cellStyle name="Normal_resumenes bal" xfId="5" xr:uid="{6AFBF624-5EFE-467F-95FA-ABF74072118E}"/>
    <cellStyle name="Porcentaje" xfId="6" builtinId="5"/>
  </cellStyles>
  <dxfs count="1">
    <dxf>
      <font>
        <b/>
        <i val="0"/>
        <condense val="0"/>
        <extend val="0"/>
        <color indexed="10"/>
      </font>
      <fill>
        <patternFill>
          <bgColor indexed="34"/>
        </patternFill>
      </fill>
    </dxf>
  </dxfs>
  <tableStyles count="1" defaultTableStyle="TableStyleMedium2" defaultPivotStyle="PivotStyleLight16">
    <tableStyle name="Invisible" pivot="0" table="0" count="0" xr9:uid="{B89501CC-F1B4-4AD3-AA6F-256270F5A8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firstButton="1" fmlaLink="$AF$16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Radio" firstButton="1" fmlaLink="$AF$67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$U$3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Drop" dropStyle="combo" dx="26" fmlaLink="$AC$19" fmlaRange="$Z$19:$Z$32" noThreeD="1" sel="1" val="0"/>
</file>

<file path=xl/ctrlProps/ctrlProp11.xml><?xml version="1.0" encoding="utf-8"?>
<formControlPr xmlns="http://schemas.microsoft.com/office/spreadsheetml/2009/9/main" objectType="Drop" dropStyle="combo" dx="26" fmlaLink="$AC$20" fmlaRange="$Z$19:$Z$32" noThreeD="1" sel="14" val="6"/>
</file>

<file path=xl/ctrlProps/ctrlProp12.xml><?xml version="1.0" encoding="utf-8"?>
<formControlPr xmlns="http://schemas.microsoft.com/office/spreadsheetml/2009/9/main" objectType="Drop" dropStyle="combo" dx="26" fmlaLink="$AC$21" fmlaRange="$Z$19:$Z$32" noThreeD="1" sel="5" val="6"/>
</file>

<file path=xl/ctrlProps/ctrlProp13.xml><?xml version="1.0" encoding="utf-8"?>
<formControlPr xmlns="http://schemas.microsoft.com/office/spreadsheetml/2009/9/main" objectType="Drop" dropStyle="combo" dx="26" fmlaLink="$AC$26" fmlaRange="$Z$19:$Z$32" noThreeD="1" sel="14" val="6"/>
</file>

<file path=xl/ctrlProps/ctrlProp14.xml><?xml version="1.0" encoding="utf-8"?>
<formControlPr xmlns="http://schemas.microsoft.com/office/spreadsheetml/2009/9/main" objectType="Drop" dropStyle="combo" dx="26" fmlaLink="$AC$22" fmlaRange="$Z$19:$Z$32" noThreeD="1" sel="14" val="6"/>
</file>

<file path=xl/ctrlProps/ctrlProp15.xml><?xml version="1.0" encoding="utf-8"?>
<formControlPr xmlns="http://schemas.microsoft.com/office/spreadsheetml/2009/9/main" objectType="Drop" dropStyle="combo" dx="26" fmlaLink="$AC$23" fmlaRange="$Z$19:$Z$32" noThreeD="1" sel="8" val="6"/>
</file>

<file path=xl/ctrlProps/ctrlProp16.xml><?xml version="1.0" encoding="utf-8"?>
<formControlPr xmlns="http://schemas.microsoft.com/office/spreadsheetml/2009/9/main" objectType="Drop" dropStyle="combo" dx="26" fmlaLink="$AC$24" fmlaRange="$Z$19:$Z$32" noThreeD="1" sel="14" val="6"/>
</file>

<file path=xl/ctrlProps/ctrlProp17.xml><?xml version="1.0" encoding="utf-8"?>
<formControlPr xmlns="http://schemas.microsoft.com/office/spreadsheetml/2009/9/main" objectType="Drop" dropStyle="combo" dx="26" fmlaLink="$AC$25" fmlaRange="$Z$19:$Z$32" noThreeD="1" sel="5" val="0"/>
</file>

<file path=xl/ctrlProps/ctrlProp18.xml><?xml version="1.0" encoding="utf-8"?>
<formControlPr xmlns="http://schemas.microsoft.com/office/spreadsheetml/2009/9/main" objectType="Drop" dropStyle="combo" dx="26" fmlaLink="$AC$27" fmlaRange="$Z$19:$Z$32" noThreeD="1" sel="1" val="0"/>
</file>

<file path=xl/ctrlProps/ctrlProp19.xml><?xml version="1.0" encoding="utf-8"?>
<formControlPr xmlns="http://schemas.microsoft.com/office/spreadsheetml/2009/9/main" objectType="Drop" dropStyle="combo" dx="26" fmlaLink="$AC$28" fmlaRange="$Z$19:$Z$32" noThreeD="1" sel="14" val="6"/>
</file>

<file path=xl/ctrlProps/ctrlProp20.xml><?xml version="1.0" encoding="utf-8"?>
<formControlPr xmlns="http://schemas.microsoft.com/office/spreadsheetml/2009/9/main" objectType="Drop" dropStyle="combo" dx="26" fmlaLink="$AC$29" fmlaRange="$Z$19:$Z$32" noThreeD="1" sel="2" val="0"/>
</file>

<file path=xl/ctrlProps/ctrlProp21.xml><?xml version="1.0" encoding="utf-8"?>
<formControlPr xmlns="http://schemas.microsoft.com/office/spreadsheetml/2009/9/main" objectType="Drop" dropStyle="combo" dx="26" fmlaLink="$AC$30" fmlaRange="$Z$19:$Z$32" noThreeD="1" sel="14" val="6"/>
</file>

<file path=xl/ctrlProps/ctrlProp22.xml><?xml version="1.0" encoding="utf-8"?>
<formControlPr xmlns="http://schemas.microsoft.com/office/spreadsheetml/2009/9/main" objectType="Drop" dropStyle="combo" dx="26" fmlaLink="$AC$33" fmlaRange="$Z$19:$Z$32" noThreeD="1" sel="13" val="0"/>
</file>

<file path=xl/ctrlProps/ctrlProp23.xml><?xml version="1.0" encoding="utf-8"?>
<formControlPr xmlns="http://schemas.microsoft.com/office/spreadsheetml/2009/9/main" objectType="Drop" dropStyle="combo" dx="26" fmlaLink="$AC$32" fmlaRange="$Z$19:$Z$32" noThreeD="1" sel="14" val="6"/>
</file>

<file path=xl/ctrlProps/ctrlProp24.xml><?xml version="1.0" encoding="utf-8"?>
<formControlPr xmlns="http://schemas.microsoft.com/office/spreadsheetml/2009/9/main" objectType="Drop" dropStyle="combo" dx="26" fmlaLink="$AC$31" fmlaRange="$Z$19:$Z$32" noThreeD="1" sel="9" val="6"/>
</file>

<file path=xl/ctrlProps/ctrlProp25.xml><?xml version="1.0" encoding="utf-8"?>
<formControlPr xmlns="http://schemas.microsoft.com/office/spreadsheetml/2009/9/main" objectType="Drop" dropStyle="combo" dx="26" fmlaLink="$AC$34" fmlaRange="$Z$19:$Z$32" noThreeD="1" sel="14" val="6"/>
</file>

<file path=xl/ctrlProps/ctrlProp26.xml><?xml version="1.0" encoding="utf-8"?>
<formControlPr xmlns="http://schemas.microsoft.com/office/spreadsheetml/2009/9/main" objectType="Drop" dropStyle="combo" dx="26" fmlaLink="$AB$45" fmlaRange="$Z$45:$Z$49" noThreeD="1" sel="2" val="0"/>
</file>

<file path=xl/ctrlProps/ctrlProp27.xml><?xml version="1.0" encoding="utf-8"?>
<formControlPr xmlns="http://schemas.microsoft.com/office/spreadsheetml/2009/9/main" objectType="Drop" dropStyle="combo" dx="26" fmlaLink="$AB$51" fmlaRange="$Z$51:$Z$53" noThreeD="1" sel="2" val="0"/>
</file>

<file path=xl/ctrlProps/ctrlProp28.xml><?xml version="1.0" encoding="utf-8"?>
<formControlPr xmlns="http://schemas.microsoft.com/office/spreadsheetml/2009/9/main" objectType="Drop" dropStyle="combo" dx="26" fmlaLink="$AH$45" fmlaRange="$AF$45:$AF$49" noThreeD="1" sel="2" val="0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Radio" checked="Checked" firstButton="1" fmlaLink="$Y$56" lockText="1" noThreeD="1"/>
</file>

<file path=xl/ctrlProps/ctrlProp31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30480</xdr:colOff>
      <xdr:row>4</xdr:row>
      <xdr:rowOff>121920</xdr:rowOff>
    </xdr:from>
    <xdr:to>
      <xdr:col>21</xdr:col>
      <xdr:colOff>174550</xdr:colOff>
      <xdr:row>6</xdr:row>
      <xdr:rowOff>28905</xdr:rowOff>
    </xdr:to>
    <xdr:sp macro="[0]!TempCal" textlink="">
      <xdr:nvSpPr>
        <xdr:cNvPr id="6155" name="AutoShape 11" descr="Brown marble">
          <a:extLst>
            <a:ext uri="{FF2B5EF4-FFF2-40B4-BE49-F238E27FC236}">
              <a16:creationId xmlns:a16="http://schemas.microsoft.com/office/drawing/2014/main" id="{69253FDD-BAD0-28C8-E5E7-5C52C3B9F8B2}"/>
            </a:ext>
          </a:extLst>
        </xdr:cNvPr>
        <xdr:cNvSpPr>
          <a:spLocks noChangeArrowheads="1"/>
        </xdr:cNvSpPr>
      </xdr:nvSpPr>
      <xdr:spPr bwMode="auto">
        <a:xfrm>
          <a:off x="9467850" y="1057275"/>
          <a:ext cx="1724025" cy="352425"/>
        </a:xfrm>
        <a:prstGeom prst="roundRect">
          <a:avLst>
            <a:gd name="adj" fmla="val 16667"/>
          </a:avLst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PE" sz="1300" b="1" i="0" u="none" strike="noStrike" baseline="0">
              <a:solidFill>
                <a:srgbClr val="FFFFFF"/>
              </a:solidFill>
              <a:latin typeface="Arial"/>
              <a:cs typeface="Arial"/>
            </a:rPr>
            <a:t>Calcula Temperatura</a:t>
          </a:r>
          <a:endParaRPr lang="es-PE"/>
        </a:p>
      </xdr:txBody>
    </xdr:sp>
    <xdr:clientData fPrintsWithSheet="0"/>
  </xdr:twoCellAnchor>
  <xdr:twoCellAnchor>
    <xdr:from>
      <xdr:col>21</xdr:col>
      <xdr:colOff>281940</xdr:colOff>
      <xdr:row>5</xdr:row>
      <xdr:rowOff>1905</xdr:rowOff>
    </xdr:from>
    <xdr:to>
      <xdr:col>25</xdr:col>
      <xdr:colOff>181676</xdr:colOff>
      <xdr:row>6</xdr:row>
      <xdr:rowOff>62111</xdr:rowOff>
    </xdr:to>
    <xdr:sp macro="[0]!CalComb" textlink="">
      <xdr:nvSpPr>
        <xdr:cNvPr id="6156" name="AutoShape 12" descr="Brown marble">
          <a:extLst>
            <a:ext uri="{FF2B5EF4-FFF2-40B4-BE49-F238E27FC236}">
              <a16:creationId xmlns:a16="http://schemas.microsoft.com/office/drawing/2014/main" id="{97563AA2-7EBD-D1D3-CB31-E80BFA3BC324}"/>
            </a:ext>
          </a:extLst>
        </xdr:cNvPr>
        <xdr:cNvSpPr>
          <a:spLocks noChangeArrowheads="1"/>
        </xdr:cNvSpPr>
      </xdr:nvSpPr>
      <xdr:spPr bwMode="auto">
        <a:xfrm>
          <a:off x="11344275" y="1085850"/>
          <a:ext cx="1752600" cy="352425"/>
        </a:xfrm>
        <a:prstGeom prst="roundRect">
          <a:avLst>
            <a:gd name="adj" fmla="val 16667"/>
          </a:avLst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s-PE" sz="1300" b="1" i="0" u="none" strike="noStrike" baseline="0">
              <a:solidFill>
                <a:srgbClr val="FFFFFF"/>
              </a:solidFill>
              <a:latin typeface="Arial"/>
              <a:cs typeface="Arial"/>
            </a:rPr>
            <a:t>Calcula Combustible</a:t>
          </a:r>
          <a:endParaRPr lang="es-PE"/>
        </a:p>
      </xdr:txBody>
    </xdr:sp>
    <xdr:clientData fPrintsWithSheet="0"/>
  </xdr:twoCellAnchor>
  <xdr:twoCellAnchor>
    <xdr:from>
      <xdr:col>29</xdr:col>
      <xdr:colOff>0</xdr:colOff>
      <xdr:row>1</xdr:row>
      <xdr:rowOff>139488</xdr:rowOff>
    </xdr:from>
    <xdr:to>
      <xdr:col>31</xdr:col>
      <xdr:colOff>319997</xdr:colOff>
      <xdr:row>3</xdr:row>
      <xdr:rowOff>28937</xdr:rowOff>
    </xdr:to>
    <xdr:sp macro="[0]!pegaperf" textlink="">
      <xdr:nvSpPr>
        <xdr:cNvPr id="6157" name="AutoShape 13">
          <a:extLst>
            <a:ext uri="{FF2B5EF4-FFF2-40B4-BE49-F238E27FC236}">
              <a16:creationId xmlns:a16="http://schemas.microsoft.com/office/drawing/2014/main" id="{3D2BB9B2-0763-4587-E595-5C8F2899302C}"/>
            </a:ext>
          </a:extLst>
        </xdr:cNvPr>
        <xdr:cNvSpPr>
          <a:spLocks noChangeArrowheads="1"/>
        </xdr:cNvSpPr>
      </xdr:nvSpPr>
      <xdr:spPr bwMode="auto">
        <a:xfrm>
          <a:off x="15860184" y="281516"/>
          <a:ext cx="746125" cy="459317"/>
        </a:xfrm>
        <a:prstGeom prst="rightArrow">
          <a:avLst>
            <a:gd name="adj1" fmla="val 50000"/>
            <a:gd name="adj2" fmla="val 40625"/>
          </a:avLst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P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Perfil</a:t>
          </a:r>
          <a:endParaRPr lang="es-P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</xdr:colOff>
          <xdr:row>13</xdr:row>
          <xdr:rowOff>22860</xdr:rowOff>
        </xdr:from>
        <xdr:to>
          <xdr:col>21</xdr:col>
          <xdr:colOff>152400</xdr:colOff>
          <xdr:row>18</xdr:row>
          <xdr:rowOff>0</xdr:rowOff>
        </xdr:to>
        <xdr:sp macro="" textlink="">
          <xdr:nvSpPr>
            <xdr:cNvPr id="6165" name="Group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3C8DCF0-A594-053B-2E07-32AC6D83E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Fija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114300</xdr:colOff>
          <xdr:row>13</xdr:row>
          <xdr:rowOff>99060</xdr:rowOff>
        </xdr:from>
        <xdr:to>
          <xdr:col>21</xdr:col>
          <xdr:colOff>7620</xdr:colOff>
          <xdr:row>15</xdr:row>
          <xdr:rowOff>91440</xdr:rowOff>
        </xdr:to>
        <xdr:sp macro="" textlink="">
          <xdr:nvSpPr>
            <xdr:cNvPr id="6166" name="Option Button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4259A898-2F06-4D1D-058F-159C78F78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Oxigeno Fijo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129540</xdr:colOff>
          <xdr:row>15</xdr:row>
          <xdr:rowOff>91440</xdr:rowOff>
        </xdr:from>
        <xdr:to>
          <xdr:col>21</xdr:col>
          <xdr:colOff>121920</xdr:colOff>
          <xdr:row>17</xdr:row>
          <xdr:rowOff>83820</xdr:rowOff>
        </xdr:to>
        <xdr:sp macro="" textlink="">
          <xdr:nvSpPr>
            <xdr:cNvPr id="6167" name="Option Button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8D6C1DCD-3DB4-02DA-4B6C-39D4074D5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Aire Lanza Fijo</a:t>
              </a:r>
            </a:p>
          </xdr:txBody>
        </xdr:sp>
        <xdr:clientData fLocksWithSheet="0"/>
      </xdr:twoCellAnchor>
    </mc:Choice>
    <mc:Fallback/>
  </mc:AlternateContent>
  <xdr:twoCellAnchor>
    <xdr:from>
      <xdr:col>72</xdr:col>
      <xdr:colOff>278130</xdr:colOff>
      <xdr:row>31</xdr:row>
      <xdr:rowOff>111125</xdr:rowOff>
    </xdr:from>
    <xdr:to>
      <xdr:col>77</xdr:col>
      <xdr:colOff>302570</xdr:colOff>
      <xdr:row>39</xdr:row>
      <xdr:rowOff>109556</xdr:rowOff>
    </xdr:to>
    <xdr:sp macro="" textlink="">
      <xdr:nvSpPr>
        <xdr:cNvPr id="6173" name="Rectangle 29">
          <a:extLst>
            <a:ext uri="{FF2B5EF4-FFF2-40B4-BE49-F238E27FC236}">
              <a16:creationId xmlns:a16="http://schemas.microsoft.com/office/drawing/2014/main" id="{B76620C9-8887-895D-A770-93779D10992B}"/>
            </a:ext>
          </a:extLst>
        </xdr:cNvPr>
        <xdr:cNvSpPr>
          <a:spLocks noChangeArrowheads="1"/>
        </xdr:cNvSpPr>
      </xdr:nvSpPr>
      <xdr:spPr bwMode="auto">
        <a:xfrm>
          <a:off x="38100000" y="4445000"/>
          <a:ext cx="2693356" cy="912831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767600" mc:Ignorable="a14" a14:legacySpreadsheetColorIndex="34">
                <a:gamma/>
                <a:shade val="4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FFFF00" mc:Ignorable="a14" a14:legacySpreadsheetColorIndex="34"/>
            </a:gs>
          </a:gsLst>
          <a:lin ang="5400000" scaled="1"/>
        </a:gradFill>
        <a:ln w="254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s-PE" sz="1400" b="1" i="1" u="none" strike="noStrike" baseline="0">
              <a:solidFill>
                <a:srgbClr val="000000"/>
              </a:solidFill>
              <a:latin typeface="Arial"/>
              <a:cs typeface="Arial"/>
            </a:rPr>
            <a:t>ESPERE, CALCULANDO ...</a:t>
          </a:r>
          <a:endParaRPr lang="es-P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495300</xdr:colOff>
          <xdr:row>62</xdr:row>
          <xdr:rowOff>22860</xdr:rowOff>
        </xdr:from>
        <xdr:to>
          <xdr:col>21</xdr:col>
          <xdr:colOff>121920</xdr:colOff>
          <xdr:row>66</xdr:row>
          <xdr:rowOff>144780</xdr:rowOff>
        </xdr:to>
        <xdr:sp macro="" textlink="">
          <xdr:nvSpPr>
            <xdr:cNvPr id="76829" name="Group Box 1053" hidden="1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5278AC24-6877-E203-9449-FBE62F501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Fija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83820</xdr:colOff>
          <xdr:row>62</xdr:row>
          <xdr:rowOff>99060</xdr:rowOff>
        </xdr:from>
        <xdr:to>
          <xdr:col>20</xdr:col>
          <xdr:colOff>411480</xdr:colOff>
          <xdr:row>64</xdr:row>
          <xdr:rowOff>91440</xdr:rowOff>
        </xdr:to>
        <xdr:sp macro="" textlink="">
          <xdr:nvSpPr>
            <xdr:cNvPr id="76830" name="Option Button 1054" hidden="1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DC02211F-F562-1A8B-B8DC-712752968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Oxigeno Fijo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91440</xdr:colOff>
          <xdr:row>64</xdr:row>
          <xdr:rowOff>83820</xdr:rowOff>
        </xdr:from>
        <xdr:to>
          <xdr:col>21</xdr:col>
          <xdr:colOff>76200</xdr:colOff>
          <xdr:row>66</xdr:row>
          <xdr:rowOff>60960</xdr:rowOff>
        </xdr:to>
        <xdr:sp macro="" textlink="">
          <xdr:nvSpPr>
            <xdr:cNvPr id="76831" name="Option Button 1055" hidden="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6D5B194B-0878-4307-0874-8A8DC4480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Aire Lanza Fijo</a:t>
              </a:r>
            </a:p>
          </xdr:txBody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29</xdr:row>
          <xdr:rowOff>38100</xdr:rowOff>
        </xdr:from>
        <xdr:to>
          <xdr:col>10</xdr:col>
          <xdr:colOff>213360</xdr:colOff>
          <xdr:row>32</xdr:row>
          <xdr:rowOff>106680</xdr:rowOff>
        </xdr:to>
        <xdr:grpSp>
          <xdr:nvGrpSpPr>
            <xdr:cNvPr id="155651" name="Group 6">
              <a:extLst>
                <a:ext uri="{FF2B5EF4-FFF2-40B4-BE49-F238E27FC236}">
                  <a16:creationId xmlns:a16="http://schemas.microsoft.com/office/drawing/2014/main" id="{8204355C-F351-870C-58D6-36E9BCABA157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736080" y="4983480"/>
              <a:ext cx="960120" cy="571500"/>
              <a:chOff x="673" y="465"/>
              <a:chExt cx="101" cy="60"/>
            </a:xfrm>
          </xdr:grpSpPr>
          <xdr:sp macro="" textlink="">
            <xdr:nvSpPr>
              <xdr:cNvPr id="8195" name="Option Button 3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FAD2D3B1-F03E-F72F-369A-D481916C6C92}"/>
                  </a:ext>
                </a:extLst>
              </xdr:cNvPr>
              <xdr:cNvSpPr/>
            </xdr:nvSpPr>
            <xdr:spPr bwMode="auto">
              <a:xfrm>
                <a:off x="681" y="475"/>
                <a:ext cx="76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s-P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Automatico</a:t>
                </a:r>
              </a:p>
            </xdr:txBody>
          </xdr:sp>
          <xdr:sp macro="" textlink="">
            <xdr:nvSpPr>
              <xdr:cNvPr id="8196" name="Option Button 4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FF789F95-9FDB-F53F-74DD-0BA89B862D07}"/>
                  </a:ext>
                </a:extLst>
              </xdr:cNvPr>
              <xdr:cNvSpPr/>
            </xdr:nvSpPr>
            <xdr:spPr bwMode="auto">
              <a:xfrm>
                <a:off x="684" y="497"/>
                <a:ext cx="76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s-P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Manual</a:t>
                </a:r>
              </a:p>
            </xdr:txBody>
          </xdr:sp>
          <xdr:sp macro="" textlink="">
            <xdr:nvSpPr>
              <xdr:cNvPr id="8197" name="Group Box 5" hidden="1">
                <a:extLst>
                  <a:ext uri="{63B3BB69-23CF-44E3-9099-C40C66FF867C}">
                    <a14:compatExt spid="_x0000_s8197"/>
                  </a:ext>
                  <a:ext uri="{FF2B5EF4-FFF2-40B4-BE49-F238E27FC236}">
                    <a16:creationId xmlns:a16="http://schemas.microsoft.com/office/drawing/2014/main" id="{45BB1D2F-9C46-D4F4-D4CD-C367771BA360}"/>
                  </a:ext>
                </a:extLst>
              </xdr:cNvPr>
              <xdr:cNvSpPr/>
            </xdr:nvSpPr>
            <xdr:spPr bwMode="auto">
              <a:xfrm>
                <a:off x="673" y="465"/>
                <a:ext cx="101" cy="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s-P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Distribucion O2</a:t>
                </a:r>
              </a:p>
            </xdr:txBody>
          </xdr:sp>
        </xdr:grp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91440</xdr:rowOff>
        </xdr:from>
        <xdr:to>
          <xdr:col>2</xdr:col>
          <xdr:colOff>7620</xdr:colOff>
          <xdr:row>18</xdr:row>
          <xdr:rowOff>121920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C9FBA2A-6DDD-5977-2ED2-0B5E7BA67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17</xdr:row>
          <xdr:rowOff>99060</xdr:rowOff>
        </xdr:from>
        <xdr:to>
          <xdr:col>3</xdr:col>
          <xdr:colOff>15240</xdr:colOff>
          <xdr:row>19</xdr:row>
          <xdr:rowOff>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E602147-6F70-51E6-0527-F804430784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20</xdr:row>
          <xdr:rowOff>91440</xdr:rowOff>
        </xdr:from>
        <xdr:to>
          <xdr:col>2</xdr:col>
          <xdr:colOff>0</xdr:colOff>
          <xdr:row>21</xdr:row>
          <xdr:rowOff>121920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CD9B63E5-1E6B-19D5-E717-4E2FE9C4A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106680</xdr:rowOff>
        </xdr:from>
        <xdr:to>
          <xdr:col>3</xdr:col>
          <xdr:colOff>7620</xdr:colOff>
          <xdr:row>28</xdr:row>
          <xdr:rowOff>7620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355B6BF1-291B-7D1B-F014-63AFC654F7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20</xdr:row>
          <xdr:rowOff>91440</xdr:rowOff>
        </xdr:from>
        <xdr:to>
          <xdr:col>3</xdr:col>
          <xdr:colOff>15240</xdr:colOff>
          <xdr:row>21</xdr:row>
          <xdr:rowOff>121920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F0256898-BB18-7BB5-9374-BE9E25165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99060</xdr:rowOff>
        </xdr:from>
        <xdr:to>
          <xdr:col>2</xdr:col>
          <xdr:colOff>7620</xdr:colOff>
          <xdr:row>25</xdr:row>
          <xdr:rowOff>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7BF639FF-ACDE-0BB0-CDDA-0E93DE6A2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99060</xdr:rowOff>
        </xdr:from>
        <xdr:to>
          <xdr:col>3</xdr:col>
          <xdr:colOff>7620</xdr:colOff>
          <xdr:row>25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594646BD-2368-C4F8-C149-3C4EDF6CF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26</xdr:row>
          <xdr:rowOff>91440</xdr:rowOff>
        </xdr:from>
        <xdr:to>
          <xdr:col>2</xdr:col>
          <xdr:colOff>0</xdr:colOff>
          <xdr:row>27</xdr:row>
          <xdr:rowOff>121920</xdr:rowOff>
        </xdr:to>
        <xdr:sp macro="" textlink="">
          <xdr:nvSpPr>
            <xdr:cNvPr id="3080" name="Drop Dow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E5764E9F-738C-E9D1-C641-0FC24260F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91440</xdr:rowOff>
        </xdr:from>
        <xdr:to>
          <xdr:col>2</xdr:col>
          <xdr:colOff>7620</xdr:colOff>
          <xdr:row>30</xdr:row>
          <xdr:rowOff>121920</xdr:rowOff>
        </xdr:to>
        <xdr:sp macro="" textlink="">
          <xdr:nvSpPr>
            <xdr:cNvPr id="3081" name="Drop Dow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9A96E48B-F4DA-61D8-8330-2DD393D2F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99060</xdr:rowOff>
        </xdr:from>
        <xdr:to>
          <xdr:col>3</xdr:col>
          <xdr:colOff>7620</xdr:colOff>
          <xdr:row>31</xdr:row>
          <xdr:rowOff>0</xdr:rowOff>
        </xdr:to>
        <xdr:sp macro="" textlink="">
          <xdr:nvSpPr>
            <xdr:cNvPr id="3082" name="Drop Dow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D7FDA090-A513-18A0-EA69-0CDA602A4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32</xdr:row>
          <xdr:rowOff>91440</xdr:rowOff>
        </xdr:from>
        <xdr:to>
          <xdr:col>1</xdr:col>
          <xdr:colOff>624840</xdr:colOff>
          <xdr:row>33</xdr:row>
          <xdr:rowOff>121920</xdr:rowOff>
        </xdr:to>
        <xdr:sp macro="" textlink="">
          <xdr:nvSpPr>
            <xdr:cNvPr id="3083" name="Drop Dow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AC8AAFA5-17ED-64D6-5367-777B8D754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32</xdr:row>
          <xdr:rowOff>91440</xdr:rowOff>
        </xdr:from>
        <xdr:to>
          <xdr:col>2</xdr:col>
          <xdr:colOff>624840</xdr:colOff>
          <xdr:row>33</xdr:row>
          <xdr:rowOff>121920</xdr:rowOff>
        </xdr:to>
        <xdr:sp macro="" textlink="">
          <xdr:nvSpPr>
            <xdr:cNvPr id="3084" name="Drop Dow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FA7942E7-D462-6E83-5308-C83190509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38</xdr:row>
          <xdr:rowOff>106680</xdr:rowOff>
        </xdr:from>
        <xdr:to>
          <xdr:col>2</xdr:col>
          <xdr:colOff>0</xdr:colOff>
          <xdr:row>40</xdr:row>
          <xdr:rowOff>7620</xdr:rowOff>
        </xdr:to>
        <xdr:sp macro="" textlink="">
          <xdr:nvSpPr>
            <xdr:cNvPr id="3085" name="Drop Dow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82F062FD-2A73-5569-BA12-3A38DC087F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35</xdr:row>
          <xdr:rowOff>99060</xdr:rowOff>
        </xdr:from>
        <xdr:to>
          <xdr:col>3</xdr:col>
          <xdr:colOff>15240</xdr:colOff>
          <xdr:row>37</xdr:row>
          <xdr:rowOff>0</xdr:rowOff>
        </xdr:to>
        <xdr:sp macro="" textlink="">
          <xdr:nvSpPr>
            <xdr:cNvPr id="3086" name="Drop Dow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691C275D-81E8-2271-3DED-6E3108090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35</xdr:row>
          <xdr:rowOff>99060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3087" name="Drop Dow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D46E02F7-9BCC-3FA4-F63B-007A4D822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624840</xdr:colOff>
          <xdr:row>38</xdr:row>
          <xdr:rowOff>106680</xdr:rowOff>
        </xdr:from>
        <xdr:to>
          <xdr:col>3</xdr:col>
          <xdr:colOff>0</xdr:colOff>
          <xdr:row>40</xdr:row>
          <xdr:rowOff>7620</xdr:rowOff>
        </xdr:to>
        <xdr:sp macro="" textlink="">
          <xdr:nvSpPr>
            <xdr:cNvPr id="3088" name="Drop Dow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AC65F76D-E8B9-987A-A792-083D3930B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44</xdr:row>
          <xdr:rowOff>152400</xdr:rowOff>
        </xdr:from>
        <xdr:to>
          <xdr:col>2</xdr:col>
          <xdr:colOff>30480</xdr:colOff>
          <xdr:row>46</xdr:row>
          <xdr:rowOff>22860</xdr:rowOff>
        </xdr:to>
        <xdr:sp macro="" textlink="">
          <xdr:nvSpPr>
            <xdr:cNvPr id="3091" name="Drop Dow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232DF554-6035-1D47-52CD-B67061909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48</xdr:row>
          <xdr:rowOff>30480</xdr:rowOff>
        </xdr:from>
        <xdr:to>
          <xdr:col>2</xdr:col>
          <xdr:colOff>30480</xdr:colOff>
          <xdr:row>49</xdr:row>
          <xdr:rowOff>60960</xdr:rowOff>
        </xdr:to>
        <xdr:sp macro="" textlink="">
          <xdr:nvSpPr>
            <xdr:cNvPr id="3092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9473F9EA-B045-AC2B-54D8-EA099D919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45</xdr:row>
          <xdr:rowOff>0</xdr:rowOff>
        </xdr:from>
        <xdr:to>
          <xdr:col>3</xdr:col>
          <xdr:colOff>68580</xdr:colOff>
          <xdr:row>46</xdr:row>
          <xdr:rowOff>30480</xdr:rowOff>
        </xdr:to>
        <xdr:sp macro="" textlink="">
          <xdr:nvSpPr>
            <xdr:cNvPr id="3094" name="Drop Dow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E0F0103D-AAE9-4EF5-9684-FB270A3B2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54</xdr:row>
          <xdr:rowOff>22860</xdr:rowOff>
        </xdr:from>
        <xdr:to>
          <xdr:col>1</xdr:col>
          <xdr:colOff>434340</xdr:colOff>
          <xdr:row>57</xdr:row>
          <xdr:rowOff>114300</xdr:rowOff>
        </xdr:to>
        <xdr:sp macro="" textlink="">
          <xdr:nvSpPr>
            <xdr:cNvPr id="3104" name="Group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4D1EAFE6-FCF6-C131-399F-E2D369E6B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Conversión de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54</xdr:row>
          <xdr:rowOff>121920</xdr:rowOff>
        </xdr:from>
        <xdr:to>
          <xdr:col>1</xdr:col>
          <xdr:colOff>220980</xdr:colOff>
          <xdr:row>56</xdr:row>
          <xdr:rowOff>38100</xdr:rowOff>
        </xdr:to>
        <xdr:sp macro="" textlink="">
          <xdr:nvSpPr>
            <xdr:cNvPr id="3105" name="Option 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DDEB529C-5586-46AB-8DF0-331FDF92E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(GN-Bunk) a GLP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56</xdr:row>
          <xdr:rowOff>30480</xdr:rowOff>
        </xdr:from>
        <xdr:to>
          <xdr:col>1</xdr:col>
          <xdr:colOff>205740</xdr:colOff>
          <xdr:row>57</xdr:row>
          <xdr:rowOff>76200</xdr:rowOff>
        </xdr:to>
        <xdr:sp macro="" textlink="">
          <xdr:nvSpPr>
            <xdr:cNvPr id="3106" name="Option 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97F404B-1A36-1AB5-C11C-675337957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GLP a (GN-Bunk)</a:t>
              </a:r>
            </a:p>
          </xdr:txBody>
        </xdr:sp>
        <xdr:clientData fLocksWithSheet="0"/>
      </xdr:twoCellAnchor>
    </mc:Choice>
    <mc:Fallback/>
  </mc:AlternateContent>
  <xdr:twoCellAnchor>
    <xdr:from>
      <xdr:col>2</xdr:col>
      <xdr:colOff>207645</xdr:colOff>
      <xdr:row>54</xdr:row>
      <xdr:rowOff>60325</xdr:rowOff>
    </xdr:from>
    <xdr:to>
      <xdr:col>3</xdr:col>
      <xdr:colOff>381970</xdr:colOff>
      <xdr:row>56</xdr:row>
      <xdr:rowOff>114000</xdr:rowOff>
    </xdr:to>
    <xdr:sp macro="[0]!conversion" textlink="">
      <xdr:nvSpPr>
        <xdr:cNvPr id="3108" name="AutoShape 36" descr="Brown marble">
          <a:extLst>
            <a:ext uri="{FF2B5EF4-FFF2-40B4-BE49-F238E27FC236}">
              <a16:creationId xmlns:a16="http://schemas.microsoft.com/office/drawing/2014/main" id="{9ECF49C2-F635-BAAE-8ECA-CDA2735A24AE}"/>
            </a:ext>
          </a:extLst>
        </xdr:cNvPr>
        <xdr:cNvSpPr>
          <a:spLocks noChangeArrowheads="1"/>
        </xdr:cNvSpPr>
      </xdr:nvSpPr>
      <xdr:spPr bwMode="auto">
        <a:xfrm>
          <a:off x="1885950" y="9115425"/>
          <a:ext cx="981075" cy="352425"/>
        </a:xfrm>
        <a:prstGeom prst="roundRect">
          <a:avLst>
            <a:gd name="adj" fmla="val 16667"/>
          </a:avLst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PE" sz="1300" b="1" i="0" u="none" strike="noStrike" baseline="0">
              <a:solidFill>
                <a:srgbClr val="FFFFFF"/>
              </a:solidFill>
              <a:latin typeface="Arial"/>
              <a:cs typeface="Arial"/>
            </a:rPr>
            <a:t>Aplicar</a:t>
          </a:r>
          <a:endParaRPr lang="es-PE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57705" name="Rectangle 1">
          <a:extLst>
            <a:ext uri="{FF2B5EF4-FFF2-40B4-BE49-F238E27FC236}">
              <a16:creationId xmlns:a16="http://schemas.microsoft.com/office/drawing/2014/main" id="{5FE962C1-059A-E691-7BCB-58173F1F776B}"/>
            </a:ext>
          </a:extLst>
        </xdr:cNvPr>
        <xdr:cNvSpPr>
          <a:spLocks noChangeArrowheads="1"/>
        </xdr:cNvSpPr>
      </xdr:nvSpPr>
      <xdr:spPr bwMode="auto">
        <a:xfrm>
          <a:off x="5501640" y="9342120"/>
          <a:ext cx="0" cy="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57706" name="Rectangle 2">
          <a:extLst>
            <a:ext uri="{FF2B5EF4-FFF2-40B4-BE49-F238E27FC236}">
              <a16:creationId xmlns:a16="http://schemas.microsoft.com/office/drawing/2014/main" id="{EC3CAEE9-085F-DEAD-5D20-62879BA77FFC}"/>
            </a:ext>
          </a:extLst>
        </xdr:cNvPr>
        <xdr:cNvSpPr>
          <a:spLocks noChangeArrowheads="1"/>
        </xdr:cNvSpPr>
      </xdr:nvSpPr>
      <xdr:spPr bwMode="auto">
        <a:xfrm>
          <a:off x="5501640" y="9342120"/>
          <a:ext cx="0" cy="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701040</xdr:colOff>
      <xdr:row>3</xdr:row>
      <xdr:rowOff>175260</xdr:rowOff>
    </xdr:to>
    <xdr:pic>
      <xdr:nvPicPr>
        <xdr:cNvPr id="157707" name="Picture 3">
          <a:extLst>
            <a:ext uri="{FF2B5EF4-FFF2-40B4-BE49-F238E27FC236}">
              <a16:creationId xmlns:a16="http://schemas.microsoft.com/office/drawing/2014/main" id="{94B8F237-0626-2207-25C1-B515B647C8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01040" cy="891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289560</xdr:colOff>
      <xdr:row>11</xdr:row>
      <xdr:rowOff>19050</xdr:rowOff>
    </xdr:from>
    <xdr:to>
      <xdr:col>12</xdr:col>
      <xdr:colOff>521909</xdr:colOff>
      <xdr:row>13</xdr:row>
      <xdr:rowOff>45720</xdr:rowOff>
    </xdr:to>
    <xdr:sp macro="[0]!perfil" textlink="">
      <xdr:nvSpPr>
        <xdr:cNvPr id="9217" name="AutoShape 1" descr="Brown marble">
          <a:extLst>
            <a:ext uri="{FF2B5EF4-FFF2-40B4-BE49-F238E27FC236}">
              <a16:creationId xmlns:a16="http://schemas.microsoft.com/office/drawing/2014/main" id="{7A652128-AD9B-2CE7-2F0C-23DF8AA92D79}"/>
            </a:ext>
          </a:extLst>
        </xdr:cNvPr>
        <xdr:cNvSpPr>
          <a:spLocks noChangeArrowheads="1"/>
        </xdr:cNvSpPr>
      </xdr:nvSpPr>
      <xdr:spPr bwMode="auto">
        <a:xfrm>
          <a:off x="7839075" y="1962150"/>
          <a:ext cx="1009650" cy="352425"/>
        </a:xfrm>
        <a:prstGeom prst="roundRect">
          <a:avLst>
            <a:gd name="adj" fmla="val 16667"/>
          </a:avLst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PE" sz="1300" b="1" i="0" u="none" strike="noStrike" baseline="0">
              <a:solidFill>
                <a:srgbClr val="FFFFFF"/>
              </a:solidFill>
              <a:latin typeface="Arial"/>
              <a:cs typeface="Arial"/>
            </a:rPr>
            <a:t>CALCULAR</a:t>
          </a:r>
          <a:endParaRPr lang="es-PE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</xdr:colOff>
      <xdr:row>1</xdr:row>
      <xdr:rowOff>30480</xdr:rowOff>
    </xdr:from>
    <xdr:to>
      <xdr:col>2</xdr:col>
      <xdr:colOff>297180</xdr:colOff>
      <xdr:row>3</xdr:row>
      <xdr:rowOff>0</xdr:rowOff>
    </xdr:to>
    <xdr:pic>
      <xdr:nvPicPr>
        <xdr:cNvPr id="159747" name="Picture 1">
          <a:extLst>
            <a:ext uri="{FF2B5EF4-FFF2-40B4-BE49-F238E27FC236}">
              <a16:creationId xmlns:a16="http://schemas.microsoft.com/office/drawing/2014/main" id="{EFC91F7B-DB55-F447-7006-8D1275ACA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" y="236220"/>
          <a:ext cx="441960" cy="541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</xdr:colOff>
      <xdr:row>1</xdr:row>
      <xdr:rowOff>30480</xdr:rowOff>
    </xdr:from>
    <xdr:to>
      <xdr:col>2</xdr:col>
      <xdr:colOff>297180</xdr:colOff>
      <xdr:row>3</xdr:row>
      <xdr:rowOff>0</xdr:rowOff>
    </xdr:to>
    <xdr:pic>
      <xdr:nvPicPr>
        <xdr:cNvPr id="160771" name="Picture 1">
          <a:extLst>
            <a:ext uri="{FF2B5EF4-FFF2-40B4-BE49-F238E27FC236}">
              <a16:creationId xmlns:a16="http://schemas.microsoft.com/office/drawing/2014/main" id="{37141BA0-8D3A-34A8-5EB7-57DEC97F94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" y="236220"/>
          <a:ext cx="441960" cy="541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NEC%20VERSA%20C150\Mis%20documentos\Luisq\ILO\2002\mex\FlashB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NEC%20VERSA%20C150\Mis%20documentos\Luisq\ILO\2002\mex\CPSBal-Mo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NEC%20VERSA%20C150\Mis%20documentos\Luisq\SPCC\PREPA%20MIN%20-%20P.%20CAL\CMT-MINERALOGIA\BALANCE%20DE%20MATERIA%20Y%20ENERG&#205;A%20CM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QUEPALA"/>
      <sheetName val="CUAJONE"/>
      <sheetName val="OTROS"/>
      <sheetName val="CAMA"/>
      <sheetName val="FLASH"/>
      <sheetName val="METSIM"/>
      <sheetName val="MACRO"/>
      <sheetName val="FlashB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9">
          <cell r="F19">
            <v>1598</v>
          </cell>
        </row>
        <row r="30">
          <cell r="F30">
            <v>174.1</v>
          </cell>
          <cell r="L30">
            <v>44.006346800000003</v>
          </cell>
        </row>
        <row r="31">
          <cell r="L31">
            <v>2.3382717369999999</v>
          </cell>
        </row>
        <row r="32">
          <cell r="F32">
            <v>21.2</v>
          </cell>
          <cell r="L32">
            <v>44.990086390000002</v>
          </cell>
        </row>
        <row r="33">
          <cell r="F33">
            <v>67.626659559999993</v>
          </cell>
          <cell r="L33">
            <v>1.996367295</v>
          </cell>
        </row>
        <row r="34">
          <cell r="F34">
            <v>93.031953700000003</v>
          </cell>
          <cell r="L34">
            <v>12.074840610000001</v>
          </cell>
        </row>
        <row r="35">
          <cell r="F35">
            <v>102.2670207</v>
          </cell>
          <cell r="L35">
            <v>20.028436110000001</v>
          </cell>
        </row>
        <row r="36">
          <cell r="F36">
            <v>32292.606349999998</v>
          </cell>
          <cell r="L36">
            <v>0.82626943239999995</v>
          </cell>
        </row>
        <row r="37">
          <cell r="F37">
            <v>8161.86</v>
          </cell>
          <cell r="L37">
            <v>1.0144077380000001</v>
          </cell>
        </row>
        <row r="38">
          <cell r="F38">
            <v>16.533430259999999</v>
          </cell>
          <cell r="L38">
            <v>41.205157319999998</v>
          </cell>
        </row>
        <row r="39">
          <cell r="F39">
            <v>3.2370589010000002</v>
          </cell>
          <cell r="L39">
            <v>0.3133313439</v>
          </cell>
        </row>
        <row r="40">
          <cell r="F40">
            <v>16376.8</v>
          </cell>
          <cell r="L40">
            <v>46.268809269999998</v>
          </cell>
        </row>
        <row r="41">
          <cell r="F41">
            <v>36.782210249999999</v>
          </cell>
          <cell r="L41">
            <v>5.649446287</v>
          </cell>
        </row>
        <row r="42">
          <cell r="F42">
            <v>8.353849404</v>
          </cell>
          <cell r="L42">
            <v>3.458237344</v>
          </cell>
        </row>
        <row r="43">
          <cell r="F43">
            <v>2247.7604620000002</v>
          </cell>
          <cell r="L43">
            <v>5.5348436120000004</v>
          </cell>
        </row>
        <row r="44">
          <cell r="F44">
            <v>2351.4690449999998</v>
          </cell>
          <cell r="L44">
            <v>6.6689277709999999</v>
          </cell>
        </row>
        <row r="45">
          <cell r="F45">
            <v>64.300212490000007</v>
          </cell>
          <cell r="L45">
            <v>0</v>
          </cell>
        </row>
        <row r="46">
          <cell r="L46">
            <v>0.88860514229999998</v>
          </cell>
        </row>
        <row r="47">
          <cell r="F47">
            <v>64.890289510000002</v>
          </cell>
        </row>
        <row r="50">
          <cell r="F50">
            <v>2357.3674919999999</v>
          </cell>
        </row>
        <row r="51">
          <cell r="F51">
            <v>8.1898805610000007</v>
          </cell>
        </row>
        <row r="52">
          <cell r="F52">
            <v>0.29730898630000002</v>
          </cell>
        </row>
        <row r="53">
          <cell r="F53">
            <v>9.2395924029999996</v>
          </cell>
        </row>
      </sheetData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CPS"/>
      <sheetName val="METSIM"/>
      <sheetName val="MACRO"/>
    </sheetNames>
    <sheetDataSet>
      <sheetData sheetId="0"/>
      <sheetData sheetId="1" refreshError="1"/>
      <sheetData sheetId="2">
        <row r="39">
          <cell r="F39">
            <v>89.603006960000002</v>
          </cell>
          <cell r="N39">
            <v>42.548687209999997</v>
          </cell>
        </row>
        <row r="40">
          <cell r="N40">
            <v>3.4888151519999999</v>
          </cell>
        </row>
        <row r="41">
          <cell r="N41">
            <v>70.711385910000004</v>
          </cell>
        </row>
        <row r="42">
          <cell r="N42">
            <v>29076.084449999998</v>
          </cell>
        </row>
        <row r="43">
          <cell r="N43">
            <v>59.887249740000001</v>
          </cell>
        </row>
        <row r="44">
          <cell r="N44">
            <v>9.9999999999999995E-7</v>
          </cell>
        </row>
        <row r="45">
          <cell r="N45">
            <v>0.28120000000000001</v>
          </cell>
        </row>
        <row r="46">
          <cell r="N46">
            <v>2238.1810930000001</v>
          </cell>
        </row>
        <row r="47">
          <cell r="N47">
            <v>2233.3131619999999</v>
          </cell>
        </row>
        <row r="48">
          <cell r="N48">
            <v>2237.806145</v>
          </cell>
        </row>
        <row r="49">
          <cell r="N49">
            <v>16.302353669999999</v>
          </cell>
        </row>
        <row r="50">
          <cell r="N50">
            <v>4.1047891439999997</v>
          </cell>
        </row>
        <row r="51">
          <cell r="N51">
            <v>78.091105170000006</v>
          </cell>
        </row>
        <row r="52">
          <cell r="N52">
            <v>1.5017520209999999</v>
          </cell>
        </row>
        <row r="53">
          <cell r="F53">
            <v>79.410987309999996</v>
          </cell>
          <cell r="N53">
            <v>99.114482140000007</v>
          </cell>
        </row>
        <row r="54">
          <cell r="N54">
            <v>10.457162459999999</v>
          </cell>
        </row>
        <row r="55">
          <cell r="N55">
            <v>9.5791148899999996</v>
          </cell>
        </row>
        <row r="61">
          <cell r="F61">
            <v>17.086359030000001</v>
          </cell>
        </row>
        <row r="62">
          <cell r="F62">
            <v>26.90601719</v>
          </cell>
        </row>
        <row r="66">
          <cell r="F66">
            <v>7.0080779450000001</v>
          </cell>
        </row>
        <row r="67">
          <cell r="F67">
            <v>3.8689336669999999</v>
          </cell>
        </row>
      </sheetData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RIZ"/>
      <sheetName val="CAMA"/>
      <sheetName val="CUAJONE"/>
      <sheetName val="TOQUEPALA"/>
      <sheetName val="OTROS"/>
      <sheetName val="CT"/>
      <sheetName val="GAS"/>
      <sheetName val="CALCULOS (1)"/>
      <sheetName val="Intruso"/>
      <sheetName val="CALCULOS (2)"/>
      <sheetName val="BALANCE (1)"/>
      <sheetName val="BALANCE (2)"/>
      <sheetName val="RESUMEN (1)"/>
      <sheetName val="RESUMEN (2)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7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5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2.xml"/><Relationship Id="rId20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24" Type="http://schemas.openxmlformats.org/officeDocument/2006/relationships/ctrlProp" Target="../ctrlProps/ctrlProp30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23" Type="http://schemas.openxmlformats.org/officeDocument/2006/relationships/ctrlProp" Target="../ctrlProps/ctrlProp29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Relationship Id="rId22" Type="http://schemas.openxmlformats.org/officeDocument/2006/relationships/ctrlProp" Target="../ctrlProps/ctrlProp2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3D6CD-56CB-474B-A1BF-98594B84AE89}">
  <sheetPr codeName="Sheet2">
    <pageSetUpPr fitToPage="1"/>
  </sheetPr>
  <dimension ref="A1:AL143"/>
  <sheetViews>
    <sheetView showGridLines="0" tabSelected="1" topLeftCell="A18" zoomScale="85" zoomScaleNormal="85" workbookViewId="0">
      <selection activeCell="R34" sqref="L32:R34"/>
    </sheetView>
  </sheetViews>
  <sheetFormatPr baseColWidth="10" defaultColWidth="8" defaultRowHeight="13.2"/>
  <cols>
    <col min="1" max="1" width="2.109375" style="416" customWidth="1"/>
    <col min="2" max="2" width="9.33203125" style="416" customWidth="1"/>
    <col min="3" max="3" width="10" style="416" customWidth="1"/>
    <col min="4" max="4" width="8.44140625" style="416" customWidth="1"/>
    <col min="5" max="5" width="11.5546875" style="416" customWidth="1"/>
    <col min="6" max="6" width="8.5546875" style="416" customWidth="1"/>
    <col min="7" max="7" width="9" style="416" customWidth="1"/>
    <col min="8" max="8" width="7.5546875" style="416" customWidth="1"/>
    <col min="9" max="9" width="7.6640625" style="416" customWidth="1"/>
    <col min="10" max="10" width="8.44140625" style="416" customWidth="1"/>
    <col min="11" max="11" width="3" style="416" customWidth="1"/>
    <col min="12" max="12" width="9.33203125" style="416" customWidth="1"/>
    <col min="13" max="13" width="3.109375" style="416" customWidth="1"/>
    <col min="14" max="15" width="9.33203125" style="416" customWidth="1"/>
    <col min="16" max="16" width="8.5546875" style="416" customWidth="1"/>
    <col min="17" max="18" width="10.5546875" style="416" customWidth="1"/>
    <col min="19" max="19" width="9.109375" style="416" customWidth="1"/>
    <col min="20" max="20" width="11.109375" style="416" customWidth="1"/>
    <col min="21" max="23" width="8" style="416" customWidth="1"/>
    <col min="24" max="24" width="9.5546875" style="416" customWidth="1"/>
    <col min="25" max="25" width="4.5546875" style="416" customWidth="1"/>
    <col min="26" max="26" width="8" style="416"/>
    <col min="27" max="27" width="9.5546875" style="416" bestFit="1" customWidth="1"/>
    <col min="28" max="29" width="8" style="416"/>
    <col min="30" max="31" width="0" style="416" hidden="1" customWidth="1"/>
    <col min="32" max="16384" width="8" style="416"/>
  </cols>
  <sheetData>
    <row r="1" spans="1:38" ht="8.25" customHeight="1" thickBot="1">
      <c r="B1" s="417"/>
    </row>
    <row r="2" spans="1:38" ht="23.25" customHeight="1">
      <c r="B2" s="1260" t="s">
        <v>502</v>
      </c>
      <c r="C2" s="1261"/>
      <c r="D2" s="1261"/>
      <c r="E2" s="1261"/>
      <c r="F2" s="1261"/>
      <c r="G2" s="1261"/>
      <c r="H2" s="1261"/>
      <c r="I2" s="1261"/>
      <c r="J2" s="1261"/>
      <c r="K2" s="1261"/>
      <c r="L2" s="1261"/>
      <c r="M2" s="1261"/>
      <c r="N2" s="1261"/>
      <c r="O2" s="1261"/>
      <c r="P2" s="1261"/>
      <c r="Q2" s="1261"/>
      <c r="R2" s="1262"/>
      <c r="U2" s="416" t="s">
        <v>536</v>
      </c>
    </row>
    <row r="3" spans="1:38" ht="23.25" customHeight="1" thickBot="1">
      <c r="B3" s="1263"/>
      <c r="C3" s="1264"/>
      <c r="D3" s="1264"/>
      <c r="E3" s="1264"/>
      <c r="F3" s="1264"/>
      <c r="G3" s="1264"/>
      <c r="H3" s="1264"/>
      <c r="I3" s="1264"/>
      <c r="J3" s="1264"/>
      <c r="K3" s="1264"/>
      <c r="L3" s="1264"/>
      <c r="M3" s="1264"/>
      <c r="N3" s="1264"/>
      <c r="O3" s="1264"/>
      <c r="P3" s="1264"/>
      <c r="Q3" s="1264"/>
      <c r="R3" s="1265"/>
    </row>
    <row r="4" spans="1:38" ht="15" customHeight="1">
      <c r="B4" s="419"/>
      <c r="C4" s="419"/>
      <c r="D4" s="419"/>
      <c r="E4" s="420"/>
      <c r="F4" s="419"/>
      <c r="G4" s="419"/>
      <c r="H4" s="419"/>
      <c r="I4" s="419"/>
      <c r="J4" s="419"/>
      <c r="K4" s="419"/>
      <c r="L4" s="419"/>
      <c r="M4" s="419"/>
      <c r="N4" s="419"/>
      <c r="O4" s="419"/>
      <c r="P4" s="419"/>
    </row>
    <row r="5" spans="1:38" ht="15" customHeight="1" thickBot="1"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9"/>
      <c r="M5" s="419"/>
      <c r="N5" s="419"/>
      <c r="O5" s="419"/>
      <c r="P5" s="419"/>
      <c r="Q5" s="1269">
        <f ca="1">+NOW()</f>
        <v>46279.818140972224</v>
      </c>
      <c r="R5" s="1269"/>
    </row>
    <row r="6" spans="1:38" ht="24" customHeight="1" thickBot="1">
      <c r="B6" s="1254" t="s">
        <v>410</v>
      </c>
      <c r="C6" s="1255"/>
      <c r="D6" s="1255"/>
      <c r="E6" s="1255"/>
      <c r="F6" s="1255"/>
      <c r="G6" s="1255"/>
      <c r="H6" s="1255"/>
      <c r="I6" s="1255"/>
      <c r="J6" s="1255"/>
      <c r="K6" s="1255"/>
      <c r="L6" s="1255"/>
      <c r="M6" s="1255"/>
      <c r="N6" s="1255"/>
      <c r="O6" s="1255"/>
      <c r="P6" s="1255"/>
      <c r="Q6" s="1255"/>
      <c r="R6" s="1256"/>
      <c r="AH6" s="421"/>
      <c r="AI6" s="421"/>
      <c r="AJ6" s="421"/>
      <c r="AK6" s="421"/>
      <c r="AL6" s="421"/>
    </row>
    <row r="7" spans="1:38" ht="15" customHeight="1" thickBot="1">
      <c r="B7" s="758"/>
      <c r="C7" s="758"/>
      <c r="D7" s="758"/>
      <c r="E7" s="758"/>
      <c r="F7" s="758"/>
      <c r="G7" s="758"/>
      <c r="H7" s="758"/>
      <c r="I7" s="758"/>
      <c r="J7" s="758"/>
      <c r="K7" s="418"/>
      <c r="Q7" s="1171" t="s">
        <v>734</v>
      </c>
      <c r="AH7" s="445"/>
      <c r="AI7" s="952"/>
      <c r="AJ7" s="952"/>
      <c r="AK7" s="952"/>
      <c r="AL7" s="952"/>
    </row>
    <row r="8" spans="1:38" ht="15" customHeight="1" thickBot="1">
      <c r="B8" s="453" t="s">
        <v>416</v>
      </c>
      <c r="C8" s="662">
        <v>1</v>
      </c>
      <c r="G8" s="453" t="s">
        <v>414</v>
      </c>
      <c r="H8" s="759">
        <v>1</v>
      </c>
      <c r="I8" s="422" t="s">
        <v>373</v>
      </c>
      <c r="J8" s="760">
        <f>H8+5</f>
        <v>6</v>
      </c>
      <c r="L8" s="1257" t="s">
        <v>407</v>
      </c>
      <c r="M8" s="1258"/>
      <c r="N8" s="1258"/>
      <c r="O8" s="1258"/>
      <c r="P8" s="1258"/>
      <c r="Q8" s="1258"/>
      <c r="R8" s="1259"/>
      <c r="S8" s="1168" t="s">
        <v>730</v>
      </c>
      <c r="V8" s="799" t="s">
        <v>541</v>
      </c>
      <c r="AF8" s="416" t="s">
        <v>694</v>
      </c>
      <c r="AH8" s="445"/>
      <c r="AI8" s="953"/>
      <c r="AJ8" s="954"/>
      <c r="AK8" s="953" t="s">
        <v>754</v>
      </c>
      <c r="AL8" s="955"/>
    </row>
    <row r="9" spans="1:38" ht="3" customHeight="1" thickBot="1">
      <c r="S9" s="445"/>
      <c r="AH9" s="445"/>
      <c r="AI9" s="952"/>
      <c r="AJ9" s="952"/>
      <c r="AK9" s="953"/>
      <c r="AL9" s="952"/>
    </row>
    <row r="10" spans="1:38" ht="15" customHeight="1" thickBot="1">
      <c r="B10" s="1266" t="s">
        <v>137</v>
      </c>
      <c r="C10" s="1267"/>
      <c r="D10" s="1267"/>
      <c r="E10" s="1267"/>
      <c r="F10" s="1267"/>
      <c r="G10" s="1267"/>
      <c r="H10" s="1267"/>
      <c r="I10" s="1267"/>
      <c r="J10" s="1268"/>
      <c r="L10" s="425" t="s">
        <v>552</v>
      </c>
      <c r="M10" s="426"/>
      <c r="N10" s="426"/>
      <c r="O10" s="426"/>
      <c r="P10" s="681" t="s">
        <v>519</v>
      </c>
      <c r="Q10" s="1209">
        <v>1848.3984215085261</v>
      </c>
      <c r="R10" s="468" t="s">
        <v>268</v>
      </c>
      <c r="S10" s="1218">
        <f>Q10</f>
        <v>1848.3984215085261</v>
      </c>
      <c r="T10" s="1014" t="s">
        <v>565</v>
      </c>
      <c r="U10" s="939" t="s">
        <v>271</v>
      </c>
      <c r="V10" s="416" t="s">
        <v>539</v>
      </c>
      <c r="Z10" s="798">
        <v>985</v>
      </c>
      <c r="AA10" s="416" t="s">
        <v>334</v>
      </c>
      <c r="AB10" s="1217"/>
      <c r="AD10" s="678"/>
      <c r="AF10" s="1015">
        <v>2</v>
      </c>
      <c r="AH10" s="445"/>
      <c r="AI10" s="953"/>
      <c r="AJ10" s="954"/>
      <c r="AK10" s="1238">
        <f ca="1">'Bal Mat Red'!L192/1000</f>
        <v>3.2029834784970075</v>
      </c>
      <c r="AL10" s="955" t="s">
        <v>294</v>
      </c>
    </row>
    <row r="11" spans="1:38" ht="3" customHeight="1" thickBot="1">
      <c r="F11" s="422"/>
      <c r="G11" s="758"/>
      <c r="L11" s="429"/>
      <c r="M11" s="430"/>
      <c r="N11" s="430"/>
      <c r="O11" s="430"/>
      <c r="P11" s="431"/>
      <c r="Q11" s="788"/>
      <c r="R11" s="469"/>
      <c r="S11" s="1219"/>
      <c r="T11" s="895"/>
      <c r="Z11" s="796"/>
      <c r="AH11" s="445"/>
      <c r="AI11" s="445"/>
      <c r="AJ11" s="445"/>
      <c r="AK11" s="445"/>
      <c r="AL11" s="445"/>
    </row>
    <row r="12" spans="1:38" ht="15" customHeight="1" thickBot="1">
      <c r="D12" s="461" t="s">
        <v>3</v>
      </c>
      <c r="E12" s="441" t="s">
        <v>415</v>
      </c>
      <c r="F12" s="441" t="s">
        <v>412</v>
      </c>
      <c r="G12" s="441" t="s">
        <v>223</v>
      </c>
      <c r="H12" s="441" t="s">
        <v>97</v>
      </c>
      <c r="I12" s="441" t="s">
        <v>413</v>
      </c>
      <c r="J12" s="458" t="s">
        <v>98</v>
      </c>
      <c r="L12" s="429" t="s">
        <v>417</v>
      </c>
      <c r="M12" s="430"/>
      <c r="N12" s="430"/>
      <c r="O12" s="430"/>
      <c r="P12" s="682" t="s">
        <v>519</v>
      </c>
      <c r="Q12" s="1205">
        <v>43.050864256405958</v>
      </c>
      <c r="R12" s="469" t="s">
        <v>212</v>
      </c>
      <c r="S12" s="1232">
        <f>+(S38*0.21+S40*0.98)/(S38+S40)</f>
        <v>0.43050864256405952</v>
      </c>
      <c r="T12" s="1206">
        <v>7150</v>
      </c>
      <c r="U12" s="1192">
        <f>+T12/(1+'Conversion Flujos'!B21)</f>
        <v>7150</v>
      </c>
      <c r="V12" s="416" t="s">
        <v>540</v>
      </c>
      <c r="Z12" s="798">
        <v>1150</v>
      </c>
      <c r="AA12" s="416" t="s">
        <v>334</v>
      </c>
      <c r="AB12" s="1217"/>
      <c r="AH12" s="421"/>
      <c r="AI12" s="421"/>
      <c r="AJ12" s="421"/>
      <c r="AK12" s="421">
        <v>3.2</v>
      </c>
      <c r="AL12" s="421" t="s">
        <v>760</v>
      </c>
    </row>
    <row r="13" spans="1:38" ht="3" customHeight="1" thickBot="1">
      <c r="A13" s="421"/>
      <c r="D13" s="761"/>
      <c r="E13" s="459"/>
      <c r="F13" s="459"/>
      <c r="G13" s="460"/>
      <c r="H13" s="433"/>
      <c r="I13" s="433"/>
      <c r="J13" s="454"/>
      <c r="L13" s="429"/>
      <c r="M13" s="430"/>
      <c r="N13" s="430"/>
      <c r="O13" s="430"/>
      <c r="P13" s="431"/>
      <c r="Q13" s="789"/>
      <c r="R13" s="469"/>
      <c r="S13" s="1218"/>
      <c r="T13" s="895"/>
    </row>
    <row r="14" spans="1:38" ht="15" customHeight="1">
      <c r="B14" s="423" t="s">
        <v>20</v>
      </c>
      <c r="C14" s="449"/>
      <c r="D14" s="762">
        <f>+Carga!C4</f>
        <v>92.5</v>
      </c>
      <c r="E14" s="584">
        <f>+Carga!D4</f>
        <v>6.9423153333333349</v>
      </c>
      <c r="F14" s="584">
        <f>+Carga!H4</f>
        <v>36.670231799948603</v>
      </c>
      <c r="G14" s="584">
        <f>+Carga!I4</f>
        <v>6.5516011812317938</v>
      </c>
      <c r="H14" s="584">
        <f>+Carga!J4</f>
        <v>16.915159714620547</v>
      </c>
      <c r="I14" s="584">
        <f>+Carga!L4</f>
        <v>1.4890433592784811</v>
      </c>
      <c r="J14" s="585"/>
      <c r="L14" s="429" t="s">
        <v>418</v>
      </c>
      <c r="M14" s="430"/>
      <c r="N14" s="430"/>
      <c r="O14" s="430"/>
      <c r="P14" s="431"/>
      <c r="Q14" s="1210">
        <v>109.9</v>
      </c>
      <c r="R14" s="469" t="s">
        <v>212</v>
      </c>
      <c r="S14" s="1220">
        <f>+(S38*0.21+S40*0.98)/(S36*9*0.21)</f>
        <v>1.2347759259259259</v>
      </c>
      <c r="AF14" s="416" t="s">
        <v>619</v>
      </c>
      <c r="AH14" s="416" t="s">
        <v>701</v>
      </c>
    </row>
    <row r="15" spans="1:38" ht="3" customHeight="1">
      <c r="B15" s="428"/>
      <c r="C15" s="436"/>
      <c r="D15" s="586"/>
      <c r="E15" s="587"/>
      <c r="F15" s="587"/>
      <c r="G15" s="587"/>
      <c r="H15" s="587"/>
      <c r="I15" s="587"/>
      <c r="J15" s="588"/>
      <c r="K15" s="418"/>
      <c r="L15" s="429"/>
      <c r="M15" s="430"/>
      <c r="N15" s="430"/>
      <c r="O15" s="430"/>
      <c r="P15" s="431"/>
      <c r="Q15" s="789"/>
      <c r="R15" s="469"/>
      <c r="S15" s="1167"/>
    </row>
    <row r="16" spans="1:38" ht="15" customHeight="1">
      <c r="B16" s="429" t="s">
        <v>138</v>
      </c>
      <c r="C16" s="436"/>
      <c r="D16" s="586">
        <f>+Carga!C15</f>
        <v>0.1</v>
      </c>
      <c r="E16" s="589">
        <f>+Carga!D15</f>
        <v>1</v>
      </c>
      <c r="F16" s="590"/>
      <c r="G16" s="590"/>
      <c r="H16" s="587">
        <f>+Carga!J15</f>
        <v>2</v>
      </c>
      <c r="I16" s="587">
        <f>+Carga!L15</f>
        <v>52.5</v>
      </c>
      <c r="J16" s="588">
        <f>+Carga!M15</f>
        <v>1.2</v>
      </c>
      <c r="K16" s="434"/>
      <c r="L16" s="429" t="s">
        <v>419</v>
      </c>
      <c r="M16" s="430"/>
      <c r="N16" s="430"/>
      <c r="O16" s="430"/>
      <c r="P16" s="1129">
        <v>0.21228209158656158</v>
      </c>
      <c r="Q16" s="1231">
        <f>+P16*24</f>
        <v>5.0947701980774784</v>
      </c>
      <c r="R16" s="469" t="s">
        <v>426</v>
      </c>
      <c r="V16" s="920"/>
      <c r="X16" s="1199"/>
      <c r="AF16" s="1015">
        <v>2</v>
      </c>
      <c r="AH16" s="706">
        <f>+Carga!AB51</f>
        <v>2</v>
      </c>
    </row>
    <row r="17" spans="2:31" ht="3" customHeight="1">
      <c r="B17" s="428"/>
      <c r="C17" s="436"/>
      <c r="D17" s="586"/>
      <c r="E17" s="587"/>
      <c r="F17" s="587"/>
      <c r="G17" s="587"/>
      <c r="H17" s="587"/>
      <c r="I17" s="587"/>
      <c r="J17" s="588"/>
      <c r="K17" s="434"/>
      <c r="L17" s="429"/>
      <c r="M17" s="430"/>
      <c r="N17" s="430"/>
      <c r="O17" s="430"/>
      <c r="P17" s="1234"/>
      <c r="Q17" s="788"/>
      <c r="R17" s="469"/>
    </row>
    <row r="18" spans="2:31" ht="15" customHeight="1" thickBot="1">
      <c r="B18" s="457" t="s">
        <v>121</v>
      </c>
      <c r="C18" s="454"/>
      <c r="D18" s="591">
        <f>+Carga!E43</f>
        <v>48.0695652173913</v>
      </c>
      <c r="E18" s="592">
        <f>+Carga!F43</f>
        <v>2.5348227206946459</v>
      </c>
      <c r="F18" s="592">
        <f>+Carga!H43</f>
        <v>46.921116814399426</v>
      </c>
      <c r="G18" s="592">
        <f>+Carga!I43</f>
        <v>2.9587818379160638</v>
      </c>
      <c r="H18" s="592">
        <f>+Carga!J43</f>
        <v>1.1933822358900146</v>
      </c>
      <c r="I18" s="592">
        <f>+Carga!L43</f>
        <v>23.39953129522431</v>
      </c>
      <c r="J18" s="593">
        <f>+Carga!M43</f>
        <v>0.24642785817655574</v>
      </c>
      <c r="K18" s="434"/>
      <c r="L18" s="429" t="s">
        <v>420</v>
      </c>
      <c r="M18" s="430"/>
      <c r="N18" s="430"/>
      <c r="O18" s="430"/>
      <c r="P18" s="431"/>
      <c r="Q18" s="684">
        <v>600</v>
      </c>
      <c r="R18" s="469" t="s">
        <v>292</v>
      </c>
    </row>
    <row r="19" spans="2:31" ht="3" customHeight="1">
      <c r="B19" s="430"/>
      <c r="C19" s="430"/>
      <c r="D19" s="437"/>
      <c r="E19" s="438"/>
      <c r="K19" s="434"/>
      <c r="L19" s="429"/>
      <c r="M19" s="430"/>
      <c r="N19" s="430"/>
      <c r="O19" s="430"/>
      <c r="P19" s="431"/>
      <c r="Q19" s="790"/>
      <c r="R19" s="464"/>
    </row>
    <row r="20" spans="2:31" ht="15" customHeight="1">
      <c r="B20" s="1124" t="s">
        <v>704</v>
      </c>
      <c r="C20" s="1125">
        <f>+'Bal Mat Fus'!N35</f>
        <v>0.46711711429041963</v>
      </c>
      <c r="D20" s="1128">
        <v>0.44</v>
      </c>
      <c r="E20" s="1124" t="s">
        <v>705</v>
      </c>
      <c r="F20" s="1125">
        <f>+'Bal Mat Fus'!N36*0.73</f>
        <v>0.56759730428390009</v>
      </c>
      <c r="G20" s="1128">
        <v>0.37</v>
      </c>
      <c r="H20" s="1124" t="s">
        <v>709</v>
      </c>
      <c r="I20" s="1125">
        <f>+'Bal Mat Fus'!N32/'Bal Mat Fus'!M27</f>
        <v>0.13795914464633449</v>
      </c>
      <c r="K20" s="434"/>
      <c r="L20" s="456" t="s">
        <v>421</v>
      </c>
      <c r="M20" s="421"/>
      <c r="N20" s="421"/>
      <c r="O20" s="421"/>
      <c r="P20" s="436"/>
      <c r="Q20" s="751">
        <v>19</v>
      </c>
      <c r="R20" s="466" t="s">
        <v>212</v>
      </c>
      <c r="T20" s="1123"/>
      <c r="V20" s="422" t="s">
        <v>591</v>
      </c>
      <c r="W20" s="422" t="s">
        <v>592</v>
      </c>
    </row>
    <row r="21" spans="2:31" ht="3" customHeight="1" thickBot="1">
      <c r="B21" s="758"/>
      <c r="C21" s="758"/>
      <c r="D21" s="758"/>
      <c r="K21" s="418"/>
      <c r="L21" s="456"/>
      <c r="M21" s="421"/>
      <c r="N21" s="421"/>
      <c r="O21" s="421"/>
      <c r="P21" s="436"/>
      <c r="Q21" s="790"/>
      <c r="R21" s="466"/>
      <c r="V21" s="913"/>
      <c r="W21" s="913"/>
    </row>
    <row r="22" spans="2:31" ht="15" customHeight="1" thickBot="1">
      <c r="B22" s="1245" t="s">
        <v>408</v>
      </c>
      <c r="C22" s="1246"/>
      <c r="D22" s="1246"/>
      <c r="E22" s="1246"/>
      <c r="F22" s="1246"/>
      <c r="G22" s="1246"/>
      <c r="H22" s="1246"/>
      <c r="I22" s="1247"/>
      <c r="J22" s="495"/>
      <c r="K22" s="495"/>
      <c r="L22" s="456" t="s">
        <v>422</v>
      </c>
      <c r="M22" s="421"/>
      <c r="N22" s="421"/>
      <c r="O22" s="421"/>
      <c r="P22" s="436"/>
      <c r="Q22" s="752">
        <v>6500</v>
      </c>
      <c r="R22" s="466" t="s">
        <v>268</v>
      </c>
      <c r="T22" s="1130"/>
      <c r="U22" s="1127"/>
      <c r="V22" s="916">
        <v>0</v>
      </c>
      <c r="W22" s="915">
        <f>1-V22</f>
        <v>1</v>
      </c>
      <c r="X22" s="913" t="s">
        <v>599</v>
      </c>
      <c r="Y22" s="913" t="s">
        <v>233</v>
      </c>
    </row>
    <row r="23" spans="2:31" ht="3" customHeight="1" thickBot="1">
      <c r="B23" s="758"/>
      <c r="C23" s="758"/>
      <c r="D23" s="758"/>
      <c r="E23" s="439"/>
      <c r="F23" s="439"/>
      <c r="G23" s="439"/>
      <c r="H23" s="439"/>
      <c r="I23" s="439"/>
      <c r="J23" s="439"/>
      <c r="L23" s="456"/>
      <c r="M23" s="421"/>
      <c r="N23" s="421"/>
      <c r="O23" s="421"/>
      <c r="P23" s="436"/>
      <c r="Q23" s="791"/>
      <c r="R23" s="466"/>
      <c r="V23" s="919"/>
      <c r="X23" s="913"/>
      <c r="Y23" s="913"/>
    </row>
    <row r="24" spans="2:31" ht="15" customHeight="1">
      <c r="D24" s="440" t="s">
        <v>412</v>
      </c>
      <c r="E24" s="441" t="s">
        <v>223</v>
      </c>
      <c r="F24" s="441" t="s">
        <v>97</v>
      </c>
      <c r="G24" s="441" t="s">
        <v>94</v>
      </c>
      <c r="H24" s="441" t="s">
        <v>413</v>
      </c>
      <c r="I24" s="458" t="s">
        <v>98</v>
      </c>
      <c r="J24" s="493"/>
      <c r="K24" s="493"/>
      <c r="L24" s="456" t="s">
        <v>423</v>
      </c>
      <c r="M24" s="421"/>
      <c r="N24" s="421"/>
      <c r="O24" s="421"/>
      <c r="P24" s="436"/>
      <c r="Q24" s="752">
        <v>1000</v>
      </c>
      <c r="R24" s="466" t="s">
        <v>268</v>
      </c>
      <c r="S24" s="917"/>
      <c r="V24" s="916">
        <f>+V22</f>
        <v>0</v>
      </c>
      <c r="W24" s="915">
        <f>1-V24</f>
        <v>1</v>
      </c>
      <c r="X24" s="913" t="s">
        <v>599</v>
      </c>
      <c r="Y24" s="913" t="s">
        <v>234</v>
      </c>
    </row>
    <row r="25" spans="2:31" ht="3" customHeight="1" thickBot="1">
      <c r="B25" s="433"/>
      <c r="C25" s="433"/>
      <c r="D25" s="442"/>
      <c r="E25" s="433"/>
      <c r="F25" s="433"/>
      <c r="G25" s="433"/>
      <c r="H25" s="433"/>
      <c r="I25" s="454"/>
      <c r="J25" s="421"/>
      <c r="K25" s="421"/>
      <c r="L25" s="456"/>
      <c r="M25" s="421"/>
      <c r="N25" s="421"/>
      <c r="O25" s="421"/>
      <c r="P25" s="436"/>
      <c r="Q25" s="790"/>
      <c r="R25" s="466"/>
      <c r="Y25" s="913"/>
    </row>
    <row r="26" spans="2:31" ht="15" customHeight="1" thickBot="1">
      <c r="B26" s="425" t="s">
        <v>230</v>
      </c>
      <c r="C26" s="426"/>
      <c r="D26" s="596">
        <f ca="1">+'Bal Mat Fus'!D190</f>
        <v>97.193179075657454</v>
      </c>
      <c r="E26" s="597">
        <f ca="1">+'Bal Mat Fus'!D191</f>
        <v>1.2651473863578542</v>
      </c>
      <c r="F26" s="598"/>
      <c r="G26" s="763"/>
      <c r="H26" s="599"/>
      <c r="I26" s="600"/>
      <c r="J26" s="494"/>
      <c r="K26" s="494"/>
      <c r="L26" s="457" t="s">
        <v>424</v>
      </c>
      <c r="M26" s="433"/>
      <c r="N26" s="433"/>
      <c r="O26" s="498">
        <f>+'Bal Mat Fus'!D254</f>
        <v>25.5</v>
      </c>
      <c r="P26" s="481" t="s">
        <v>431</v>
      </c>
      <c r="Q26" s="753">
        <v>17</v>
      </c>
      <c r="R26" s="467" t="s">
        <v>756</v>
      </c>
      <c r="S26" s="839" t="str">
        <f ca="1">+IF(D63&lt;0,"MODIFICAR - MENOS",IF(D63&gt;1.65,"MODIFICAR - MAS",""))</f>
        <v/>
      </c>
      <c r="V26" s="918">
        <f>+V22*0.5</f>
        <v>0</v>
      </c>
      <c r="W26" s="915">
        <f>1-V26</f>
        <v>1</v>
      </c>
      <c r="X26" s="913" t="s">
        <v>600</v>
      </c>
      <c r="Y26" s="913" t="s">
        <v>233</v>
      </c>
    </row>
    <row r="27" spans="2:31" ht="3" customHeight="1">
      <c r="B27" s="429"/>
      <c r="C27" s="430"/>
      <c r="D27" s="601"/>
      <c r="E27" s="602"/>
      <c r="F27" s="603"/>
      <c r="G27" s="603"/>
      <c r="H27" s="603"/>
      <c r="I27" s="604"/>
      <c r="J27" s="484"/>
      <c r="K27" s="463"/>
      <c r="V27" s="683"/>
      <c r="X27" s="913"/>
      <c r="Y27" s="913"/>
    </row>
    <row r="28" spans="2:31" ht="15" customHeight="1">
      <c r="B28" s="429" t="s">
        <v>232</v>
      </c>
      <c r="C28" s="430"/>
      <c r="D28" s="605">
        <f ca="1">+'Bal Mat Fus'!D211</f>
        <v>65.000000000000099</v>
      </c>
      <c r="E28" s="606">
        <f ca="1">+'Bal Mat Fus'!D212</f>
        <v>7.0204085313891245</v>
      </c>
      <c r="F28" s="607"/>
      <c r="G28" s="607"/>
      <c r="H28" s="607"/>
      <c r="I28" s="608"/>
      <c r="J28" s="448"/>
      <c r="K28" s="448"/>
      <c r="V28" s="918">
        <f>+V24*0.5</f>
        <v>0</v>
      </c>
      <c r="W28" s="915">
        <f>1-V28</f>
        <v>1</v>
      </c>
      <c r="X28" s="913" t="s">
        <v>600</v>
      </c>
      <c r="Y28" s="913" t="s">
        <v>234</v>
      </c>
      <c r="AA28" s="939"/>
    </row>
    <row r="29" spans="2:31" ht="3" customHeight="1" thickBot="1">
      <c r="B29" s="428"/>
      <c r="C29" s="421"/>
      <c r="D29" s="601"/>
      <c r="E29" s="602"/>
      <c r="F29" s="603"/>
      <c r="G29" s="603"/>
      <c r="H29" s="603"/>
      <c r="I29" s="609"/>
      <c r="J29" s="463"/>
      <c r="K29" s="463"/>
    </row>
    <row r="30" spans="2:31" ht="15" customHeight="1" thickBot="1">
      <c r="B30" s="429" t="s">
        <v>231</v>
      </c>
      <c r="C30" s="430"/>
      <c r="D30" s="605">
        <f>+'Bal Mat Fus'!K223</f>
        <v>52.026267082570833</v>
      </c>
      <c r="E30" s="606">
        <f>+'Bal Mat Fus'!K224</f>
        <v>0.93074228286457683</v>
      </c>
      <c r="F30" s="610"/>
      <c r="G30" s="610"/>
      <c r="H30" s="610"/>
      <c r="I30" s="764"/>
      <c r="J30" s="485"/>
      <c r="K30" s="447"/>
      <c r="L30" s="1257" t="s">
        <v>409</v>
      </c>
      <c r="M30" s="1258"/>
      <c r="N30" s="1258"/>
      <c r="O30" s="1258"/>
      <c r="P30" s="1258"/>
      <c r="Q30" s="1258"/>
      <c r="R30" s="1259"/>
      <c r="AE30" s="678"/>
    </row>
    <row r="31" spans="2:31" ht="3" customHeight="1" thickBot="1">
      <c r="B31" s="429"/>
      <c r="C31" s="430"/>
      <c r="D31" s="605"/>
      <c r="E31" s="606"/>
      <c r="F31" s="611"/>
      <c r="G31" s="611"/>
      <c r="H31" s="611"/>
      <c r="I31" s="612"/>
      <c r="J31" s="485"/>
      <c r="K31" s="485"/>
    </row>
    <row r="32" spans="2:31" ht="15" customHeight="1" thickBot="1">
      <c r="B32" s="432" t="s">
        <v>222</v>
      </c>
      <c r="C32" s="1009">
        <f>+E32*71.8/55.8</f>
        <v>11.275146301182579</v>
      </c>
      <c r="D32" s="613">
        <f>+'Bal Mat Fus'!G200</f>
        <v>20.599636277270243</v>
      </c>
      <c r="E32" s="614">
        <f>+'Bal Mat Fus'!G201</f>
        <v>8.7625788803062381</v>
      </c>
      <c r="F32" s="614">
        <f>+'Bal Mat Fus'!G202</f>
        <v>22.329697744457981</v>
      </c>
      <c r="G32" s="614">
        <f>+'Bal Mat Fus'!G203</f>
        <v>8.9393593279382131</v>
      </c>
      <c r="H32" s="614">
        <f>+'Bal Mat Fus'!G204</f>
        <v>15.820141358087334</v>
      </c>
      <c r="I32" s="615">
        <f>+'Bal Mat Fus'!G205</f>
        <v>0.59344885194089059</v>
      </c>
      <c r="J32" s="448"/>
      <c r="K32" s="448"/>
      <c r="L32" s="425" t="s">
        <v>20</v>
      </c>
      <c r="M32" s="426"/>
      <c r="N32" s="426"/>
      <c r="O32" s="426"/>
      <c r="P32" s="681" t="s">
        <v>519</v>
      </c>
      <c r="Q32" s="631">
        <f>+(D14+V48)*1000/Q16</f>
        <v>18155.872866435675</v>
      </c>
      <c r="R32" s="479" t="s">
        <v>425</v>
      </c>
      <c r="S32" s="897"/>
      <c r="T32" s="1233">
        <f>+W32/Q16</f>
        <v>30.499434441201281</v>
      </c>
      <c r="U32" s="1012" t="s">
        <v>689</v>
      </c>
      <c r="W32" s="1116">
        <f>+D14+D16+D18+O34/1000</f>
        <v>155.38760964925012</v>
      </c>
      <c r="X32" s="1012" t="s">
        <v>690</v>
      </c>
      <c r="AA32" s="678"/>
    </row>
    <row r="33" spans="2:36" ht="3" customHeight="1" thickBot="1">
      <c r="B33" s="430"/>
      <c r="C33" s="430"/>
      <c r="D33" s="485"/>
      <c r="E33" s="485"/>
      <c r="F33" s="485"/>
      <c r="G33" s="485"/>
      <c r="H33" s="485"/>
      <c r="I33" s="485"/>
      <c r="J33" s="485"/>
      <c r="K33" s="485"/>
      <c r="L33" s="429"/>
      <c r="M33" s="430"/>
      <c r="N33" s="430"/>
      <c r="O33" s="430"/>
      <c r="P33" s="431"/>
      <c r="Q33" s="477"/>
      <c r="R33" s="480"/>
      <c r="T33" s="683"/>
    </row>
    <row r="34" spans="2:36" ht="15" customHeight="1">
      <c r="B34" s="430"/>
      <c r="C34" s="430"/>
      <c r="D34" s="440" t="s">
        <v>434</v>
      </c>
      <c r="E34" s="441" t="s">
        <v>435</v>
      </c>
      <c r="F34" s="441" t="s">
        <v>436</v>
      </c>
      <c r="G34" s="441" t="s">
        <v>437</v>
      </c>
      <c r="H34" s="441" t="s">
        <v>438</v>
      </c>
      <c r="I34" s="458" t="s">
        <v>518</v>
      </c>
      <c r="J34" s="483"/>
      <c r="K34" s="486"/>
      <c r="L34" s="429" t="s">
        <v>160</v>
      </c>
      <c r="M34" s="1024" t="str">
        <f>+Carga!AC45</f>
        <v>NACIONAL</v>
      </c>
      <c r="N34" s="1013"/>
      <c r="O34" s="478">
        <f>+'Bal Mat Fus'!F7*1000*(100/(100-Factores!G23))</f>
        <v>14718.044431858831</v>
      </c>
      <c r="P34" s="634" t="s">
        <v>428</v>
      </c>
      <c r="Q34" s="477">
        <f>+O34/Q16</f>
        <v>2888.853443755464</v>
      </c>
      <c r="R34" s="480" t="s">
        <v>425</v>
      </c>
      <c r="S34" s="1126"/>
      <c r="T34" s="1131">
        <f>+O34-W34</f>
        <v>13718.044431858831</v>
      </c>
      <c r="U34" s="939" t="s">
        <v>707</v>
      </c>
      <c r="W34" s="797">
        <v>1000</v>
      </c>
      <c r="X34" s="939" t="s">
        <v>706</v>
      </c>
      <c r="Y34" s="421"/>
      <c r="Z34" s="421"/>
      <c r="AA34" s="1201"/>
      <c r="AD34" s="678"/>
    </row>
    <row r="35" spans="2:36" ht="3" customHeight="1" thickBot="1">
      <c r="B35" s="430"/>
      <c r="C35" s="430"/>
      <c r="D35" s="488"/>
      <c r="E35" s="489"/>
      <c r="F35" s="489"/>
      <c r="G35" s="489"/>
      <c r="H35" s="490"/>
      <c r="I35" s="491"/>
      <c r="J35" s="483"/>
      <c r="K35" s="486"/>
      <c r="L35" s="429"/>
      <c r="M35" s="430"/>
      <c r="N35" s="430"/>
      <c r="O35" s="507"/>
      <c r="P35" s="634"/>
      <c r="Q35" s="476"/>
      <c r="R35" s="480"/>
      <c r="S35" s="683"/>
      <c r="T35" s="683"/>
      <c r="W35" s="421"/>
      <c r="X35" s="421"/>
      <c r="Y35" s="421"/>
      <c r="Z35" s="421"/>
      <c r="AA35" s="1195"/>
    </row>
    <row r="36" spans="2:36" ht="15" customHeight="1" thickBot="1">
      <c r="B36" s="425" t="s">
        <v>439</v>
      </c>
      <c r="C36" s="426"/>
      <c r="D36" s="594">
        <f>+'Bal Mat Fus'!J237</f>
        <v>21.899724470973897</v>
      </c>
      <c r="E36" s="595">
        <f>+'Bal Mat Fus'!J238</f>
        <v>1.3497332666506001</v>
      </c>
      <c r="F36" s="595">
        <f>+'Bal Mat Fus'!J239</f>
        <v>50.321794384489813</v>
      </c>
      <c r="G36" s="595">
        <f>+'Bal Mat Fus'!J240</f>
        <v>0.46851564091268444</v>
      </c>
      <c r="H36" s="595">
        <f>+'Bal Mat Fus'!J241</f>
        <v>25.942462820822669</v>
      </c>
      <c r="I36" s="699">
        <f>+'Bal Mat Fus'!J242</f>
        <v>1.7769416150327042E-2</v>
      </c>
      <c r="J36" s="439"/>
      <c r="K36" s="439"/>
      <c r="L36" s="429" t="s">
        <v>602</v>
      </c>
      <c r="M36" s="430"/>
      <c r="N36" s="430"/>
      <c r="O36" s="478">
        <f>+Q10*Q16+Perfil!D7*Perfil!C7</f>
        <v>9483.831858741758</v>
      </c>
      <c r="P36" s="634" t="s">
        <v>271</v>
      </c>
      <c r="Q36" s="477">
        <f>+Q10</f>
        <v>1848.3984215085261</v>
      </c>
      <c r="R36" s="480" t="s">
        <v>268</v>
      </c>
      <c r="S36" s="1167">
        <f>+Q36</f>
        <v>1848.3984215085261</v>
      </c>
      <c r="T36" s="1115">
        <f>+Q10/T32</f>
        <v>60.604350715813574</v>
      </c>
      <c r="U36" s="1012" t="s">
        <v>617</v>
      </c>
      <c r="W36" s="1114"/>
      <c r="Y36" s="421"/>
      <c r="Z36" s="421"/>
      <c r="AA36" s="1196"/>
      <c r="AC36" s="678"/>
    </row>
    <row r="37" spans="2:36" ht="3" customHeight="1">
      <c r="B37" s="765"/>
      <c r="C37" s="766"/>
      <c r="D37" s="767"/>
      <c r="E37" s="617"/>
      <c r="F37" s="617"/>
      <c r="G37" s="617"/>
      <c r="H37" s="617"/>
      <c r="I37" s="609"/>
      <c r="K37" s="418"/>
      <c r="L37" s="429"/>
      <c r="M37" s="430"/>
      <c r="N37" s="430"/>
      <c r="O37" s="507"/>
      <c r="P37" s="634"/>
      <c r="Q37" s="476"/>
      <c r="R37" s="480"/>
      <c r="S37" s="1168"/>
      <c r="V37" s="683"/>
      <c r="W37" s="421"/>
      <c r="X37" s="421"/>
      <c r="Y37" s="421"/>
      <c r="Z37" s="421"/>
    </row>
    <row r="38" spans="2:36" ht="15" customHeight="1" thickBot="1">
      <c r="B38" s="768" t="s">
        <v>440</v>
      </c>
      <c r="C38" s="769"/>
      <c r="D38" s="770">
        <f>+'Bal Mat Fus'!N237</f>
        <v>10.424097199315362</v>
      </c>
      <c r="E38" s="616">
        <f>+'Bal Mat Fus'!N238</f>
        <v>0</v>
      </c>
      <c r="F38" s="616">
        <f>+'Bal Mat Fus'!N239</f>
        <v>25.582363356790694</v>
      </c>
      <c r="G38" s="616">
        <f>+'Bal Mat Fus'!N240</f>
        <v>0.21006307482044359</v>
      </c>
      <c r="H38" s="616">
        <f>+'Bal Mat Fus'!N241</f>
        <v>63.275267526904031</v>
      </c>
      <c r="I38" s="615">
        <f>+'Bal Mat Fus'!N242</f>
        <v>0.50820884216946649</v>
      </c>
      <c r="K38" s="418"/>
      <c r="L38" s="429" t="s">
        <v>429</v>
      </c>
      <c r="M38" s="430"/>
      <c r="N38" s="430"/>
      <c r="O38" s="507"/>
      <c r="P38" s="634"/>
      <c r="Q38" s="477">
        <f>+'Bal Mat Fus'!K51</f>
        <v>7150.4572286461062</v>
      </c>
      <c r="R38" s="480" t="s">
        <v>268</v>
      </c>
      <c r="S38" s="1169">
        <f>+Q38/(1+'Conversion Flujos'!B21)</f>
        <v>7150.4572286461062</v>
      </c>
      <c r="X38" s="1025"/>
      <c r="Y38" s="1026"/>
      <c r="Z38" s="421"/>
      <c r="AA38" s="678"/>
      <c r="AC38" s="678"/>
      <c r="AI38" s="1244"/>
      <c r="AJ38" s="421"/>
    </row>
    <row r="39" spans="2:36" ht="3" customHeight="1" thickBot="1">
      <c r="B39" s="472"/>
      <c r="C39" s="472"/>
      <c r="D39" s="472"/>
      <c r="K39" s="418"/>
      <c r="L39" s="429"/>
      <c r="M39" s="430"/>
      <c r="N39" s="430"/>
      <c r="O39" s="507"/>
      <c r="P39" s="634"/>
      <c r="Q39" s="477"/>
      <c r="R39" s="480"/>
      <c r="S39" s="1168"/>
      <c r="V39" s="683"/>
    </row>
    <row r="40" spans="2:36" ht="15" customHeight="1" thickBot="1">
      <c r="B40" s="430"/>
      <c r="C40" s="430"/>
      <c r="D40" s="439"/>
      <c r="E40" s="439"/>
      <c r="F40" s="439"/>
      <c r="G40" s="470"/>
      <c r="H40" s="471"/>
      <c r="I40" s="439"/>
      <c r="J40" s="439"/>
      <c r="K40" s="439"/>
      <c r="L40" s="429" t="s">
        <v>603</v>
      </c>
      <c r="M40" s="430"/>
      <c r="N40" s="430"/>
      <c r="O40" s="478">
        <f>+Q40*Q16</f>
        <v>14619.185021923593</v>
      </c>
      <c r="P40" s="634" t="s">
        <v>271</v>
      </c>
      <c r="Q40" s="477">
        <f>+'Bal Mat Fus'!K52</f>
        <v>2869.4493477723827</v>
      </c>
      <c r="R40" s="480" t="s">
        <v>268</v>
      </c>
      <c r="S40" s="1169">
        <f>+Q40/(1+'Conversion Flujos'!B20)</f>
        <v>2869.4493477723827</v>
      </c>
      <c r="T40" s="1115">
        <f>+O40/W32</f>
        <v>94.082051039480305</v>
      </c>
      <c r="U40" s="1012" t="s">
        <v>617</v>
      </c>
      <c r="W40" s="1197"/>
      <c r="X40" s="1198"/>
      <c r="Y40" s="473"/>
      <c r="Z40" s="455"/>
      <c r="AA40" s="421"/>
      <c r="AB40" s="421"/>
      <c r="AC40" s="421"/>
      <c r="AD40" s="421"/>
      <c r="AE40" s="421"/>
      <c r="AF40" s="421"/>
    </row>
    <row r="41" spans="2:36" ht="3" customHeight="1">
      <c r="B41" s="1248" t="s">
        <v>443</v>
      </c>
      <c r="C41" s="1249"/>
      <c r="D41" s="1249"/>
      <c r="E41" s="1249"/>
      <c r="F41" s="1249"/>
      <c r="G41" s="1249"/>
      <c r="H41" s="1250"/>
      <c r="I41" s="421"/>
      <c r="J41" s="421"/>
      <c r="K41" s="472"/>
      <c r="L41" s="428"/>
      <c r="M41" s="421"/>
      <c r="N41" s="421"/>
      <c r="O41" s="421"/>
      <c r="P41" s="436"/>
      <c r="Q41" s="421"/>
      <c r="R41" s="436"/>
      <c r="S41" s="421"/>
      <c r="T41" s="430"/>
      <c r="U41" s="430"/>
      <c r="V41" s="430"/>
      <c r="W41" s="450"/>
      <c r="X41" s="430"/>
      <c r="Y41" s="474"/>
      <c r="Z41" s="475"/>
      <c r="AA41" s="421"/>
      <c r="AB41" s="421"/>
      <c r="AC41" s="421"/>
      <c r="AD41" s="421"/>
      <c r="AE41" s="421"/>
      <c r="AF41" s="421"/>
    </row>
    <row r="42" spans="2:36" ht="15" customHeight="1" thickBot="1">
      <c r="B42" s="1251"/>
      <c r="C42" s="1252"/>
      <c r="D42" s="1252"/>
      <c r="E42" s="1252"/>
      <c r="F42" s="1252"/>
      <c r="G42" s="1252"/>
      <c r="H42" s="1253"/>
      <c r="I42" s="439"/>
      <c r="J42" s="439"/>
      <c r="K42" s="439"/>
      <c r="L42" s="429" t="s">
        <v>230</v>
      </c>
      <c r="M42" s="430"/>
      <c r="N42" s="430"/>
      <c r="O42" s="450"/>
      <c r="P42" s="436"/>
      <c r="Q42" s="632">
        <f ca="1">+'Bal Mat Fus'!C197</f>
        <v>26.633180800947287</v>
      </c>
      <c r="R42" s="480" t="s">
        <v>431</v>
      </c>
      <c r="S42" s="421"/>
      <c r="T42" s="1239"/>
      <c r="U42" s="430"/>
      <c r="V42" s="430"/>
      <c r="W42" s="450"/>
      <c r="X42" s="1203"/>
      <c r="Y42" s="473"/>
      <c r="Z42" s="455"/>
      <c r="AA42" s="421"/>
      <c r="AB42" s="421"/>
      <c r="AC42" s="421"/>
      <c r="AD42" s="421"/>
      <c r="AE42" s="421"/>
      <c r="AF42" s="421"/>
    </row>
    <row r="43" spans="2:36" ht="3" customHeight="1" thickBot="1">
      <c r="D43" s="472"/>
      <c r="E43" s="421"/>
      <c r="F43" s="421"/>
      <c r="G43" s="421"/>
      <c r="H43" s="421"/>
      <c r="I43" s="421"/>
      <c r="J43" s="421"/>
      <c r="K43" s="472"/>
      <c r="L43" s="429"/>
      <c r="M43" s="430"/>
      <c r="N43" s="430"/>
      <c r="O43" s="450"/>
      <c r="P43" s="431"/>
      <c r="Q43" s="474"/>
      <c r="R43" s="452"/>
      <c r="S43" s="421"/>
      <c r="T43" s="430"/>
      <c r="U43" s="430"/>
      <c r="V43" s="430"/>
      <c r="W43" s="450"/>
      <c r="X43" s="430"/>
      <c r="Y43" s="474"/>
      <c r="Z43" s="475"/>
      <c r="AA43" s="421"/>
      <c r="AB43" s="421"/>
      <c r="AC43" s="421"/>
      <c r="AD43" s="421"/>
      <c r="AE43" s="421"/>
      <c r="AF43" s="421"/>
    </row>
    <row r="44" spans="2:36" ht="15" customHeight="1">
      <c r="B44" s="423" t="s">
        <v>444</v>
      </c>
      <c r="C44" s="424"/>
      <c r="D44" s="443"/>
      <c r="E44" s="444"/>
      <c r="F44" s="496"/>
      <c r="G44" s="754">
        <v>1200</v>
      </c>
      <c r="H44" s="468" t="s">
        <v>334</v>
      </c>
      <c r="I44" s="439"/>
      <c r="J44" s="439"/>
      <c r="K44" s="439"/>
      <c r="L44" s="429" t="s">
        <v>222</v>
      </c>
      <c r="M44" s="430"/>
      <c r="N44" s="430"/>
      <c r="O44" s="450"/>
      <c r="P44" s="431"/>
      <c r="Q44" s="632">
        <f>+'Bal Mat Fus'!C207</f>
        <v>94.282982686051298</v>
      </c>
      <c r="R44" s="480" t="s">
        <v>431</v>
      </c>
      <c r="S44" s="421"/>
      <c r="T44" s="1242"/>
      <c r="U44" s="430"/>
      <c r="V44" s="430"/>
      <c r="W44" s="450"/>
      <c r="X44" s="1202"/>
      <c r="Y44" s="473"/>
      <c r="Z44" s="455"/>
      <c r="AA44" s="421"/>
      <c r="AB44" s="421"/>
      <c r="AC44" s="421"/>
      <c r="AD44" s="421"/>
      <c r="AE44" s="421"/>
      <c r="AF44" s="421"/>
    </row>
    <row r="45" spans="2:36" ht="3" customHeight="1">
      <c r="B45" s="428"/>
      <c r="C45" s="421"/>
      <c r="D45" s="472"/>
      <c r="E45" s="436"/>
      <c r="F45" s="428"/>
      <c r="G45" s="421"/>
      <c r="H45" s="480"/>
      <c r="I45" s="421"/>
      <c r="J45" s="421"/>
      <c r="K45" s="472"/>
      <c r="L45" s="429"/>
      <c r="M45" s="430"/>
      <c r="N45" s="430"/>
      <c r="O45" s="450"/>
      <c r="P45" s="431"/>
      <c r="Q45" s="474"/>
      <c r="R45" s="452"/>
      <c r="S45" s="421"/>
      <c r="T45" s="430"/>
      <c r="U45" s="430"/>
      <c r="V45" s="430"/>
      <c r="W45" s="450"/>
      <c r="X45" s="430"/>
      <c r="Y45" s="474"/>
      <c r="Z45" s="475"/>
      <c r="AA45" s="421"/>
      <c r="AB45" s="421"/>
      <c r="AC45" s="421"/>
      <c r="AD45" s="421"/>
      <c r="AE45" s="421"/>
      <c r="AF45" s="421"/>
    </row>
    <row r="46" spans="2:36" ht="15" customHeight="1">
      <c r="B46" s="429" t="s">
        <v>441</v>
      </c>
      <c r="C46" s="430"/>
      <c r="D46" s="439"/>
      <c r="E46" s="446"/>
      <c r="F46" s="428"/>
      <c r="G46" s="636">
        <f>+'Bal Energ Fus'!D77</f>
        <v>984.8443320281774</v>
      </c>
      <c r="H46" s="480" t="s">
        <v>334</v>
      </c>
      <c r="I46" s="439"/>
      <c r="J46" s="439"/>
      <c r="K46" s="439"/>
      <c r="L46" s="429" t="s">
        <v>232</v>
      </c>
      <c r="M46" s="430"/>
      <c r="N46" s="430"/>
      <c r="O46" s="450"/>
      <c r="P46" s="431"/>
      <c r="Q46" s="632">
        <f ca="1">+'Bal Mat Fus'!C218</f>
        <v>7.9992731026170674</v>
      </c>
      <c r="R46" s="480" t="s">
        <v>431</v>
      </c>
      <c r="S46" s="421"/>
      <c r="T46" s="1243"/>
      <c r="W46" s="450"/>
      <c r="X46" s="430"/>
      <c r="Y46" s="473"/>
      <c r="Z46" s="455"/>
      <c r="AA46" s="421"/>
      <c r="AB46" s="421"/>
      <c r="AC46" s="421"/>
      <c r="AD46" s="421"/>
      <c r="AE46" s="421"/>
      <c r="AF46" s="421"/>
    </row>
    <row r="47" spans="2:36" ht="3" customHeight="1">
      <c r="B47" s="487"/>
      <c r="C47" s="472"/>
      <c r="D47" s="472"/>
      <c r="E47" s="436"/>
      <c r="F47" s="428"/>
      <c r="G47" s="637"/>
      <c r="H47" s="480"/>
      <c r="I47" s="421"/>
      <c r="J47" s="421"/>
      <c r="K47" s="472"/>
      <c r="L47" s="428"/>
      <c r="M47" s="421"/>
      <c r="N47" s="421"/>
      <c r="O47" s="421"/>
      <c r="P47" s="436"/>
      <c r="Q47" s="421"/>
      <c r="R47" s="436"/>
      <c r="S47" s="421"/>
      <c r="T47" s="430"/>
      <c r="U47" s="430"/>
      <c r="V47" s="473"/>
      <c r="W47" s="450"/>
      <c r="X47" s="430"/>
      <c r="Y47" s="474"/>
      <c r="Z47" s="475"/>
      <c r="AA47" s="421"/>
      <c r="AB47" s="421"/>
      <c r="AC47" s="421"/>
      <c r="AD47" s="421"/>
      <c r="AE47" s="421"/>
      <c r="AF47" s="421"/>
    </row>
    <row r="48" spans="2:36" ht="15" customHeight="1">
      <c r="B48" s="429" t="s">
        <v>442</v>
      </c>
      <c r="C48" s="430"/>
      <c r="D48" s="439"/>
      <c r="E48" s="446"/>
      <c r="F48" s="428"/>
      <c r="G48" s="636">
        <f>+'Bal Energ Fus'!D91</f>
        <v>984.8443320281774</v>
      </c>
      <c r="H48" s="480" t="s">
        <v>334</v>
      </c>
      <c r="I48" s="439"/>
      <c r="J48" s="439"/>
      <c r="K48" s="439"/>
      <c r="L48" s="429" t="s">
        <v>231</v>
      </c>
      <c r="M48" s="430"/>
      <c r="N48" s="430"/>
      <c r="O48" s="450"/>
      <c r="P48" s="431"/>
      <c r="Q48" s="632">
        <f>+'Bal Mat Fus'!G230</f>
        <v>9.5274817052763616</v>
      </c>
      <c r="R48" s="480" t="s">
        <v>431</v>
      </c>
      <c r="S48" s="421"/>
      <c r="T48" s="430"/>
      <c r="U48" s="473"/>
      <c r="V48" s="473"/>
      <c r="W48" s="450"/>
      <c r="X48" s="430"/>
      <c r="Y48" s="473"/>
      <c r="Z48" s="455"/>
      <c r="AA48" s="421"/>
      <c r="AB48" s="421"/>
      <c r="AC48" s="421"/>
      <c r="AD48" s="421"/>
      <c r="AE48" s="421"/>
      <c r="AF48" s="421"/>
    </row>
    <row r="49" spans="2:32" ht="3" customHeight="1">
      <c r="B49" s="487"/>
      <c r="C49" s="472"/>
      <c r="D49" s="472"/>
      <c r="E49" s="436"/>
      <c r="F49" s="428"/>
      <c r="G49" s="637"/>
      <c r="H49" s="480"/>
      <c r="I49" s="421"/>
      <c r="J49" s="421"/>
      <c r="K49" s="472"/>
      <c r="L49" s="429"/>
      <c r="M49" s="430"/>
      <c r="N49" s="430"/>
      <c r="O49" s="450"/>
      <c r="P49" s="431"/>
      <c r="Q49" s="478"/>
      <c r="R49" s="480"/>
      <c r="S49" s="421"/>
      <c r="T49" s="430"/>
      <c r="U49" s="430"/>
      <c r="V49" s="473"/>
      <c r="W49" s="450"/>
      <c r="X49" s="430"/>
      <c r="Y49" s="474"/>
      <c r="Z49" s="475"/>
      <c r="AA49" s="421"/>
      <c r="AB49" s="421"/>
      <c r="AC49" s="421"/>
      <c r="AD49" s="421"/>
      <c r="AE49" s="421"/>
      <c r="AF49" s="421"/>
    </row>
    <row r="50" spans="2:32" ht="15" customHeight="1">
      <c r="B50" s="429" t="s">
        <v>482</v>
      </c>
      <c r="C50" s="430"/>
      <c r="D50" s="439"/>
      <c r="E50" s="446"/>
      <c r="F50" s="428"/>
      <c r="G50" s="636">
        <f>+'Bal Energ Fus'!D105</f>
        <v>1184.8443320281774</v>
      </c>
      <c r="H50" s="480" t="s">
        <v>334</v>
      </c>
      <c r="I50" s="439"/>
      <c r="J50" s="439"/>
      <c r="K50" s="439"/>
      <c r="L50" s="429" t="s">
        <v>432</v>
      </c>
      <c r="M50" s="430"/>
      <c r="N50" s="430"/>
      <c r="O50" s="450"/>
      <c r="P50" s="431"/>
      <c r="Q50" s="478">
        <f>+'Bal Mat Fus'!M243</f>
        <v>52315.319607631849</v>
      </c>
      <c r="R50" s="480" t="s">
        <v>268</v>
      </c>
      <c r="S50" s="421"/>
      <c r="T50" s="430"/>
      <c r="U50" s="430"/>
      <c r="V50" s="430"/>
      <c r="W50" s="450"/>
      <c r="X50" s="430"/>
      <c r="Y50" s="473"/>
      <c r="Z50" s="455"/>
      <c r="AA50" s="421"/>
      <c r="AB50" s="421"/>
      <c r="AC50" s="421"/>
      <c r="AD50" s="1200"/>
      <c r="AE50" s="421"/>
      <c r="AF50" s="421"/>
    </row>
    <row r="51" spans="2:32" ht="3" customHeight="1">
      <c r="B51" s="487"/>
      <c r="C51" s="472"/>
      <c r="D51" s="472"/>
      <c r="E51" s="436"/>
      <c r="F51" s="428"/>
      <c r="G51" s="637"/>
      <c r="H51" s="436"/>
      <c r="I51" s="421"/>
      <c r="J51" s="421"/>
      <c r="K51" s="472"/>
      <c r="L51" s="428"/>
      <c r="M51" s="421"/>
      <c r="N51" s="421"/>
      <c r="O51" s="421"/>
      <c r="P51" s="436"/>
      <c r="Q51" s="421"/>
      <c r="R51" s="436"/>
      <c r="S51" s="421"/>
      <c r="T51" s="430"/>
      <c r="U51" s="430"/>
      <c r="V51" s="430"/>
      <c r="W51" s="450"/>
      <c r="X51" s="430"/>
      <c r="Y51" s="474"/>
      <c r="Z51" s="475"/>
      <c r="AA51" s="421"/>
      <c r="AB51" s="421"/>
      <c r="AC51" s="421"/>
      <c r="AD51" s="421"/>
      <c r="AE51" s="421"/>
      <c r="AF51" s="421"/>
    </row>
    <row r="52" spans="2:32" ht="15" customHeight="1" thickBot="1">
      <c r="B52" s="781" t="s">
        <v>483</v>
      </c>
      <c r="C52" s="782"/>
      <c r="D52" s="783"/>
      <c r="E52" s="784"/>
      <c r="F52" s="785"/>
      <c r="G52" s="786">
        <f>+'Bal Energ Fus'!D229</f>
        <v>1619.4922659409988</v>
      </c>
      <c r="H52" s="787" t="s">
        <v>334</v>
      </c>
      <c r="I52" s="439"/>
      <c r="J52" s="439"/>
      <c r="K52" s="439"/>
      <c r="L52" s="457" t="s">
        <v>433</v>
      </c>
      <c r="M52" s="433"/>
      <c r="N52" s="433"/>
      <c r="O52" s="633">
        <f>+Q52*Q16</f>
        <v>110610.31741671264</v>
      </c>
      <c r="P52" s="481" t="s">
        <v>428</v>
      </c>
      <c r="Q52" s="633">
        <f>+'Bal Mat Fus'!O235</f>
        <v>21710.560656583031</v>
      </c>
      <c r="R52" s="481" t="s">
        <v>425</v>
      </c>
      <c r="S52" s="421"/>
      <c r="T52" s="430"/>
      <c r="U52" s="430"/>
      <c r="V52" s="430"/>
      <c r="W52" s="450"/>
      <c r="X52" s="430"/>
      <c r="Y52" s="473"/>
      <c r="Z52" s="455"/>
      <c r="AA52" s="421"/>
      <c r="AB52" s="421"/>
      <c r="AC52" s="421"/>
      <c r="AD52" s="421"/>
      <c r="AE52" s="421"/>
      <c r="AF52" s="421"/>
    </row>
    <row r="53" spans="2:32" ht="3" customHeight="1">
      <c r="B53" s="472"/>
      <c r="C53" s="472"/>
      <c r="D53" s="472"/>
      <c r="E53" s="421"/>
      <c r="F53" s="421"/>
      <c r="G53" s="421"/>
      <c r="H53" s="421"/>
      <c r="I53" s="421"/>
      <c r="J53" s="421"/>
      <c r="K53" s="472"/>
      <c r="L53" s="421"/>
      <c r="M53" s="421"/>
      <c r="N53" s="421"/>
      <c r="O53" s="421"/>
      <c r="P53" s="421"/>
      <c r="Q53" s="421"/>
      <c r="R53" s="421"/>
      <c r="S53" s="421"/>
      <c r="T53" s="430"/>
      <c r="U53" s="430"/>
      <c r="V53" s="430"/>
      <c r="W53" s="450"/>
      <c r="X53" s="430"/>
      <c r="Y53" s="474"/>
      <c r="Z53" s="475"/>
      <c r="AA53" s="421"/>
      <c r="AB53" s="421"/>
      <c r="AC53" s="421"/>
      <c r="AD53" s="421"/>
      <c r="AE53" s="421"/>
      <c r="AF53" s="421"/>
    </row>
    <row r="54" spans="2:32" ht="15" customHeight="1" thickBot="1">
      <c r="B54" s="430"/>
      <c r="C54" s="430"/>
      <c r="D54" s="439"/>
      <c r="E54" s="439"/>
      <c r="F54" s="439"/>
      <c r="G54" s="470"/>
      <c r="H54" s="471"/>
      <c r="I54" s="439"/>
      <c r="J54" s="439"/>
      <c r="K54" s="439"/>
      <c r="L54" s="421"/>
      <c r="M54" s="421"/>
      <c r="N54" s="421"/>
      <c r="O54" s="421"/>
      <c r="P54" s="421"/>
      <c r="Q54" s="421"/>
      <c r="R54" s="421"/>
      <c r="S54" s="421"/>
      <c r="T54" s="430"/>
      <c r="U54" s="430"/>
      <c r="V54" s="1193"/>
      <c r="W54" s="450"/>
      <c r="X54" s="430"/>
      <c r="Y54" s="473"/>
      <c r="Z54" s="455"/>
      <c r="AA54" s="421"/>
      <c r="AB54" s="421"/>
      <c r="AC54" s="421"/>
      <c r="AD54" s="421"/>
      <c r="AE54" s="421"/>
      <c r="AF54" s="421"/>
    </row>
    <row r="55" spans="2:32" ht="24" customHeight="1" thickBot="1">
      <c r="B55" s="1254" t="s">
        <v>411</v>
      </c>
      <c r="C55" s="1255"/>
      <c r="D55" s="1255"/>
      <c r="E55" s="1255"/>
      <c r="F55" s="1255"/>
      <c r="G55" s="1255"/>
      <c r="H55" s="1255"/>
      <c r="I55" s="1255"/>
      <c r="J55" s="1255"/>
      <c r="K55" s="1255"/>
      <c r="L55" s="1255"/>
      <c r="M55" s="1255"/>
      <c r="N55" s="1255"/>
      <c r="O55" s="1255"/>
      <c r="P55" s="1255"/>
      <c r="Q55" s="1255"/>
      <c r="R55" s="1256"/>
      <c r="V55" s="1194"/>
    </row>
    <row r="56" spans="2:32" ht="15" customHeight="1" thickBot="1">
      <c r="B56" s="418"/>
      <c r="C56" s="418"/>
      <c r="D56" s="418"/>
      <c r="E56" s="418"/>
      <c r="F56" s="418"/>
      <c r="G56" s="418"/>
      <c r="H56" s="418"/>
      <c r="I56" s="418"/>
      <c r="J56" s="418"/>
      <c r="K56" s="418"/>
      <c r="S56" s="421"/>
      <c r="T56" s="430"/>
      <c r="U56" s="430"/>
      <c r="V56" s="1193"/>
      <c r="W56" s="450"/>
      <c r="X56" s="430"/>
      <c r="Y56" s="474"/>
      <c r="Z56" s="475"/>
      <c r="AA56" s="421"/>
      <c r="AB56" s="421"/>
      <c r="AC56" s="421"/>
      <c r="AD56" s="421"/>
      <c r="AE56" s="421"/>
      <c r="AF56" s="421"/>
    </row>
    <row r="57" spans="2:32" ht="15" customHeight="1" thickBot="1">
      <c r="B57" s="445"/>
      <c r="C57" s="421"/>
      <c r="D57" s="421"/>
      <c r="E57" s="421"/>
      <c r="F57" s="421"/>
      <c r="G57" s="445"/>
      <c r="H57" s="505"/>
      <c r="I57" s="451"/>
      <c r="J57" s="506"/>
      <c r="L57" s="1257" t="s">
        <v>407</v>
      </c>
      <c r="M57" s="1258"/>
      <c r="N57" s="1258"/>
      <c r="O57" s="1258"/>
      <c r="P57" s="1258"/>
      <c r="Q57" s="1258"/>
      <c r="R57" s="1259"/>
      <c r="S57" s="421"/>
      <c r="T57" s="430"/>
      <c r="U57" s="430"/>
      <c r="V57" s="430"/>
      <c r="W57" s="450"/>
      <c r="X57" s="430"/>
      <c r="Y57" s="473"/>
      <c r="Z57" s="455"/>
      <c r="AA57" s="421"/>
      <c r="AB57" s="421"/>
      <c r="AC57" s="421"/>
      <c r="AD57" s="421"/>
      <c r="AE57" s="421"/>
      <c r="AF57" s="421"/>
    </row>
    <row r="58" spans="2:32" ht="3" customHeight="1" thickBot="1">
      <c r="S58" s="421"/>
      <c r="T58" s="430"/>
      <c r="U58" s="430"/>
      <c r="V58" s="430"/>
      <c r="W58" s="450"/>
      <c r="X58" s="430"/>
      <c r="Y58" s="474"/>
      <c r="Z58" s="475"/>
      <c r="AA58" s="421"/>
      <c r="AB58" s="421"/>
      <c r="AC58" s="421"/>
      <c r="AD58" s="421"/>
      <c r="AE58" s="421"/>
      <c r="AF58" s="421"/>
    </row>
    <row r="59" spans="2:32" ht="15" customHeight="1" thickBot="1">
      <c r="B59" s="1270" t="s">
        <v>489</v>
      </c>
      <c r="C59" s="1271"/>
      <c r="D59" s="1271"/>
      <c r="E59" s="1271"/>
      <c r="F59" s="1271"/>
      <c r="G59" s="1271"/>
      <c r="H59" s="1271"/>
      <c r="I59" s="1271"/>
      <c r="J59" s="1272"/>
      <c r="L59" s="425" t="s">
        <v>552</v>
      </c>
      <c r="M59" s="426"/>
      <c r="N59" s="426"/>
      <c r="O59" s="426"/>
      <c r="P59" s="681" t="s">
        <v>519</v>
      </c>
      <c r="Q59" s="1211">
        <v>1388.5487354326656</v>
      </c>
      <c r="R59" s="468" t="s">
        <v>268</v>
      </c>
      <c r="S59" s="1221">
        <f>+Q59</f>
        <v>1388.5487354326656</v>
      </c>
      <c r="T59" s="1014" t="s">
        <v>565</v>
      </c>
      <c r="U59" s="430"/>
      <c r="V59" s="430"/>
      <c r="W59" s="450"/>
      <c r="X59" s="430"/>
      <c r="Y59" s="473"/>
      <c r="Z59" s="455"/>
      <c r="AA59" s="421"/>
      <c r="AB59" s="421"/>
      <c r="AC59" s="421"/>
      <c r="AD59" s="421"/>
      <c r="AE59" s="421"/>
      <c r="AF59" s="421"/>
    </row>
    <row r="60" spans="2:32" ht="3" customHeight="1" thickBot="1">
      <c r="F60" s="422"/>
      <c r="G60" s="418"/>
      <c r="L60" s="429"/>
      <c r="M60" s="430"/>
      <c r="N60" s="430"/>
      <c r="O60" s="430"/>
      <c r="P60" s="682"/>
      <c r="Q60" s="1212"/>
      <c r="R60" s="469"/>
      <c r="S60" s="1222"/>
      <c r="T60" s="895"/>
      <c r="U60" s="430"/>
      <c r="V60" s="430"/>
      <c r="W60" s="450"/>
      <c r="X60" s="430"/>
      <c r="Y60" s="474"/>
      <c r="Z60" s="475"/>
      <c r="AA60" s="421"/>
    </row>
    <row r="61" spans="2:32" ht="15.75" customHeight="1" thickBot="1">
      <c r="D61" s="461" t="s">
        <v>151</v>
      </c>
      <c r="E61" s="441" t="s">
        <v>412</v>
      </c>
      <c r="F61" s="441" t="s">
        <v>223</v>
      </c>
      <c r="G61" s="441" t="s">
        <v>97</v>
      </c>
      <c r="H61" s="441" t="s">
        <v>94</v>
      </c>
      <c r="I61" s="441" t="s">
        <v>413</v>
      </c>
      <c r="J61" s="676" t="s">
        <v>98</v>
      </c>
      <c r="L61" s="429" t="s">
        <v>417</v>
      </c>
      <c r="M61" s="430"/>
      <c r="N61" s="430"/>
      <c r="O61" s="430"/>
      <c r="P61" s="682" t="s">
        <v>519</v>
      </c>
      <c r="Q61" s="1213">
        <v>31.176643401541412</v>
      </c>
      <c r="R61" s="469" t="s">
        <v>212</v>
      </c>
      <c r="S61" s="1232">
        <f>+(S85*0.21+S87*0.98)/(S85+S87)</f>
        <v>0.31176643401541415</v>
      </c>
      <c r="T61" s="1206">
        <v>7100</v>
      </c>
      <c r="U61" s="1192">
        <f>+Q85/(1+'Conversion Flujos'!B21)</f>
        <v>7099.6625369273088</v>
      </c>
    </row>
    <row r="62" spans="2:32" ht="3" customHeight="1" thickBot="1">
      <c r="D62" s="462"/>
      <c r="E62" s="459"/>
      <c r="F62" s="459"/>
      <c r="G62" s="460"/>
      <c r="H62" s="433"/>
      <c r="I62" s="433"/>
      <c r="J62" s="454"/>
      <c r="L62" s="429"/>
      <c r="M62" s="430"/>
      <c r="N62" s="430"/>
      <c r="O62" s="430"/>
      <c r="P62" s="682"/>
      <c r="Q62" s="1214"/>
      <c r="R62" s="469"/>
      <c r="S62" s="1217"/>
    </row>
    <row r="63" spans="2:32" ht="15" customHeight="1">
      <c r="B63" s="423" t="s">
        <v>230</v>
      </c>
      <c r="C63" s="424"/>
      <c r="D63" s="762">
        <f ca="1">+'Bal Mat Red'!C7</f>
        <v>1.1331808009472866</v>
      </c>
      <c r="E63" s="584">
        <f ca="1">+D26</f>
        <v>97.193179075657454</v>
      </c>
      <c r="F63" s="584">
        <f ca="1">+E26</f>
        <v>1.2651473863578542</v>
      </c>
      <c r="G63" s="640"/>
      <c r="H63" s="640"/>
      <c r="I63" s="640"/>
      <c r="J63" s="585"/>
      <c r="L63" s="429" t="s">
        <v>418</v>
      </c>
      <c r="M63" s="430"/>
      <c r="N63" s="430"/>
      <c r="O63" s="430"/>
      <c r="P63" s="431"/>
      <c r="Q63" s="1213">
        <v>86.5</v>
      </c>
      <c r="R63" s="469" t="s">
        <v>212</v>
      </c>
      <c r="S63" s="1220">
        <f>+(S85*0.21+S87*0.98)/(S83*9*0.21)</f>
        <v>0.97186640211640207</v>
      </c>
    </row>
    <row r="64" spans="2:32" ht="3" customHeight="1">
      <c r="B64" s="428"/>
      <c r="C64" s="421"/>
      <c r="D64" s="586"/>
      <c r="E64" s="587"/>
      <c r="F64" s="587"/>
      <c r="G64" s="587"/>
      <c r="H64" s="587"/>
      <c r="I64" s="587"/>
      <c r="J64" s="588"/>
      <c r="K64" s="418"/>
      <c r="L64" s="429"/>
      <c r="M64" s="430"/>
      <c r="N64" s="430"/>
      <c r="O64" s="430"/>
      <c r="P64" s="431"/>
      <c r="Q64" s="793"/>
      <c r="R64" s="469"/>
    </row>
    <row r="65" spans="1:32" ht="15.75" customHeight="1">
      <c r="B65" s="429" t="s">
        <v>222</v>
      </c>
      <c r="C65" s="421"/>
      <c r="D65" s="586">
        <f>+'Bal Mat Red'!D7</f>
        <v>94.282982686051298</v>
      </c>
      <c r="E65" s="589">
        <f t="shared" ref="E65:J65" si="0">+D32</f>
        <v>20.599636277270243</v>
      </c>
      <c r="F65" s="589">
        <f t="shared" si="0"/>
        <v>8.7625788803062381</v>
      </c>
      <c r="G65" s="589">
        <f t="shared" si="0"/>
        <v>22.329697744457981</v>
      </c>
      <c r="H65" s="589">
        <f t="shared" si="0"/>
        <v>8.9393593279382131</v>
      </c>
      <c r="I65" s="589">
        <f t="shared" si="0"/>
        <v>15.820141358087334</v>
      </c>
      <c r="J65" s="677">
        <f t="shared" si="0"/>
        <v>0.59344885194089059</v>
      </c>
      <c r="K65" s="434"/>
      <c r="L65" s="429" t="s">
        <v>445</v>
      </c>
      <c r="M65" s="430"/>
      <c r="N65" s="430"/>
      <c r="O65" s="430"/>
      <c r="P65" s="431"/>
      <c r="Q65" s="780">
        <f>1+27/60</f>
        <v>1.45</v>
      </c>
      <c r="R65" s="469" t="s">
        <v>426</v>
      </c>
      <c r="AF65" s="416" t="s">
        <v>619</v>
      </c>
    </row>
    <row r="66" spans="1:32" ht="3" customHeight="1">
      <c r="B66" s="428"/>
      <c r="C66" s="421"/>
      <c r="D66" s="586"/>
      <c r="E66" s="587"/>
      <c r="F66" s="587"/>
      <c r="G66" s="587"/>
      <c r="H66" s="587"/>
      <c r="I66" s="587"/>
      <c r="J66" s="588"/>
      <c r="K66" s="434"/>
      <c r="L66" s="429"/>
      <c r="M66" s="430"/>
      <c r="N66" s="430"/>
      <c r="O66" s="430"/>
      <c r="P66" s="431"/>
      <c r="Q66" s="792"/>
      <c r="R66" s="469"/>
    </row>
    <row r="67" spans="1:32" ht="15.75" customHeight="1" thickBot="1">
      <c r="B67" s="457"/>
      <c r="C67" s="433"/>
      <c r="D67" s="591"/>
      <c r="E67" s="592"/>
      <c r="F67" s="592"/>
      <c r="G67" s="592"/>
      <c r="H67" s="592"/>
      <c r="I67" s="592"/>
      <c r="J67" s="593"/>
      <c r="K67" s="434"/>
      <c r="L67" s="429" t="s">
        <v>446</v>
      </c>
      <c r="M67" s="430"/>
      <c r="N67" s="430"/>
      <c r="O67" s="430"/>
      <c r="P67" s="431"/>
      <c r="Q67" s="465">
        <v>600</v>
      </c>
      <c r="R67" s="469" t="s">
        <v>292</v>
      </c>
      <c r="AF67" s="1015">
        <v>2</v>
      </c>
    </row>
    <row r="68" spans="1:32" ht="2.25" customHeight="1">
      <c r="B68" s="430"/>
      <c r="C68" s="430"/>
      <c r="D68" s="437"/>
      <c r="E68" s="438"/>
      <c r="K68" s="434"/>
      <c r="L68" s="429"/>
      <c r="M68" s="430"/>
      <c r="N68" s="430"/>
      <c r="O68" s="430"/>
      <c r="P68" s="431"/>
      <c r="Q68" s="437"/>
      <c r="R68" s="464"/>
    </row>
    <row r="69" spans="1:32" ht="15" customHeight="1">
      <c r="B69" s="430"/>
      <c r="C69" s="430"/>
      <c r="D69" s="437"/>
      <c r="E69" s="435"/>
      <c r="K69" s="434"/>
      <c r="L69" s="456" t="s">
        <v>447</v>
      </c>
      <c r="M69" s="421"/>
      <c r="N69" s="421"/>
      <c r="O69" s="421"/>
      <c r="P69" s="436"/>
      <c r="Q69" s="755">
        <v>0.57999999999999996</v>
      </c>
      <c r="R69" s="466" t="s">
        <v>212</v>
      </c>
      <c r="S69" s="914"/>
      <c r="T69" s="914"/>
    </row>
    <row r="70" spans="1:32" ht="3" customHeight="1" thickBot="1">
      <c r="B70" s="758"/>
      <c r="C70" s="758"/>
      <c r="D70" s="758"/>
      <c r="K70" s="418"/>
      <c r="L70" s="456"/>
      <c r="M70" s="421"/>
      <c r="N70" s="421"/>
      <c r="O70" s="421"/>
      <c r="P70" s="436"/>
      <c r="Q70" s="794"/>
      <c r="R70" s="466"/>
      <c r="S70" s="913"/>
      <c r="T70" s="913"/>
    </row>
    <row r="71" spans="1:32" ht="15" customHeight="1" thickBot="1">
      <c r="B71" s="1245" t="s">
        <v>408</v>
      </c>
      <c r="C71" s="1246"/>
      <c r="D71" s="1246"/>
      <c r="E71" s="1246"/>
      <c r="F71" s="1246"/>
      <c r="G71" s="1246"/>
      <c r="H71" s="1246"/>
      <c r="I71" s="1247"/>
      <c r="J71" s="495"/>
      <c r="K71" s="495"/>
      <c r="L71" s="456" t="s">
        <v>422</v>
      </c>
      <c r="M71" s="421"/>
      <c r="N71" s="421"/>
      <c r="O71" s="421"/>
      <c r="P71" s="436"/>
      <c r="Q71" s="756">
        <v>6800</v>
      </c>
      <c r="R71" s="466" t="s">
        <v>268</v>
      </c>
    </row>
    <row r="72" spans="1:32" ht="3" customHeight="1" thickBot="1">
      <c r="B72" s="758"/>
      <c r="C72" s="758"/>
      <c r="D72" s="758"/>
      <c r="E72" s="439"/>
      <c r="F72" s="439"/>
      <c r="G72" s="439"/>
      <c r="H72" s="439"/>
      <c r="I72" s="439"/>
      <c r="J72" s="439"/>
      <c r="L72" s="456"/>
      <c r="M72" s="421"/>
      <c r="N72" s="421"/>
      <c r="O72" s="421"/>
      <c r="P72" s="436"/>
      <c r="Q72" s="795"/>
      <c r="R72" s="466"/>
    </row>
    <row r="73" spans="1:32" ht="15.75" customHeight="1" thickBot="1">
      <c r="D73" s="440" t="s">
        <v>412</v>
      </c>
      <c r="E73" s="441" t="s">
        <v>223</v>
      </c>
      <c r="F73" s="441" t="s">
        <v>97</v>
      </c>
      <c r="G73" s="441" t="s">
        <v>94</v>
      </c>
      <c r="H73" s="441" t="s">
        <v>413</v>
      </c>
      <c r="I73" s="458" t="s">
        <v>98</v>
      </c>
      <c r="J73" s="493"/>
      <c r="K73" s="493"/>
      <c r="L73" s="457" t="s">
        <v>423</v>
      </c>
      <c r="M73" s="433"/>
      <c r="N73" s="433"/>
      <c r="O73" s="433"/>
      <c r="P73" s="454"/>
      <c r="Q73" s="757">
        <v>1000</v>
      </c>
      <c r="R73" s="467" t="s">
        <v>268</v>
      </c>
      <c r="S73" s="917"/>
    </row>
    <row r="74" spans="1:32" ht="3" customHeight="1" thickBot="1">
      <c r="B74" s="433"/>
      <c r="C74" s="433"/>
      <c r="D74" s="442"/>
      <c r="E74" s="433"/>
      <c r="F74" s="433"/>
      <c r="G74" s="433"/>
      <c r="H74" s="433"/>
      <c r="I74" s="454"/>
      <c r="J74" s="421"/>
      <c r="K74" s="421"/>
      <c r="L74" s="445"/>
      <c r="M74" s="421"/>
      <c r="N74" s="421"/>
      <c r="O74" s="421"/>
      <c r="P74" s="421"/>
      <c r="Q74" s="421"/>
      <c r="R74" s="508"/>
      <c r="S74" s="421"/>
    </row>
    <row r="75" spans="1:32" ht="15.75" customHeight="1">
      <c r="B75" s="425" t="s">
        <v>230</v>
      </c>
      <c r="C75" s="427"/>
      <c r="D75" s="596">
        <f ca="1">+'Bal Mat Red'!D184</f>
        <v>95.803047059536951</v>
      </c>
      <c r="E75" s="597">
        <f ca="1">+'Bal Mat Red'!D185</f>
        <v>1.4345230474170911</v>
      </c>
      <c r="F75" s="598"/>
      <c r="G75" s="763"/>
      <c r="H75" s="599"/>
      <c r="I75" s="600"/>
      <c r="J75" s="903"/>
      <c r="K75" s="494"/>
      <c r="L75" s="445"/>
      <c r="M75" s="421"/>
      <c r="N75" s="421"/>
      <c r="O75" s="421"/>
      <c r="P75" s="507"/>
      <c r="Q75" s="421"/>
      <c r="R75" s="508"/>
      <c r="S75" s="421"/>
    </row>
    <row r="76" spans="1:32" ht="2.25" customHeight="1" thickBot="1">
      <c r="A76" s="418"/>
      <c r="B76" s="429"/>
      <c r="C76" s="431"/>
      <c r="D76" s="601"/>
      <c r="E76" s="602"/>
      <c r="F76" s="603"/>
      <c r="G76" s="603"/>
      <c r="H76" s="603"/>
      <c r="I76" s="604"/>
      <c r="J76" s="484"/>
      <c r="K76" s="463"/>
    </row>
    <row r="77" spans="1:32" ht="15.75" customHeight="1" thickBot="1">
      <c r="B77" s="429" t="s">
        <v>232</v>
      </c>
      <c r="C77" s="431"/>
      <c r="D77" s="605">
        <f ca="1">+'Bal Mat Red'!D205</f>
        <v>71.500000000000099</v>
      </c>
      <c r="E77" s="606">
        <f ca="1">+'Bal Mat Red'!D206</f>
        <v>5.7867300167221618</v>
      </c>
      <c r="F77" s="607"/>
      <c r="G77" s="607"/>
      <c r="H77" s="607"/>
      <c r="I77" s="608"/>
      <c r="K77" s="448"/>
      <c r="L77" s="1257" t="s">
        <v>409</v>
      </c>
      <c r="M77" s="1258"/>
      <c r="N77" s="1258"/>
      <c r="O77" s="1258"/>
      <c r="P77" s="1258"/>
      <c r="Q77" s="1258"/>
      <c r="R77" s="1259"/>
    </row>
    <row r="78" spans="1:32" ht="2.25" customHeight="1" thickBot="1">
      <c r="B78" s="428"/>
      <c r="C78" s="436"/>
      <c r="D78" s="601"/>
      <c r="E78" s="602"/>
      <c r="F78" s="603"/>
      <c r="G78" s="603"/>
      <c r="H78" s="603"/>
      <c r="I78" s="609"/>
      <c r="K78" s="463"/>
    </row>
    <row r="79" spans="1:32" ht="15.75" customHeight="1">
      <c r="B79" s="429" t="s">
        <v>231</v>
      </c>
      <c r="C79" s="431"/>
      <c r="D79" s="605">
        <f ca="1">+'Bal Mat Red'!K217</f>
        <v>45.789718078179597</v>
      </c>
      <c r="E79" s="606">
        <f ca="1">+'Bal Mat Red'!K218</f>
        <v>1.1528831678097684</v>
      </c>
      <c r="F79" s="610"/>
      <c r="G79" s="610"/>
      <c r="H79" s="610"/>
      <c r="I79" s="764"/>
      <c r="J79" s="904" t="s">
        <v>491</v>
      </c>
      <c r="K79" s="447"/>
      <c r="L79" s="425"/>
      <c r="M79" s="426"/>
      <c r="N79" s="426"/>
      <c r="O79" s="426"/>
      <c r="P79" s="427"/>
      <c r="Q79" s="482"/>
      <c r="R79" s="479"/>
    </row>
    <row r="80" spans="1:32" ht="3" customHeight="1">
      <c r="B80" s="429"/>
      <c r="C80" s="431"/>
      <c r="D80" s="605"/>
      <c r="E80" s="606"/>
      <c r="F80" s="611"/>
      <c r="G80" s="611"/>
      <c r="H80" s="611"/>
      <c r="I80" s="612"/>
      <c r="J80" s="485"/>
      <c r="K80" s="485"/>
      <c r="L80" s="429"/>
      <c r="M80" s="430"/>
      <c r="N80" s="430"/>
      <c r="O80" s="430"/>
      <c r="P80" s="431"/>
      <c r="Q80" s="477"/>
      <c r="R80" s="480"/>
    </row>
    <row r="81" spans="2:19" ht="15.75" customHeight="1" thickBot="1">
      <c r="B81" s="432" t="s">
        <v>222</v>
      </c>
      <c r="C81" s="1009">
        <f ca="1">+E81*71.8/55.8</f>
        <v>16.356806787368271</v>
      </c>
      <c r="D81" s="613">
        <f ca="1">+'Bal Mat Red'!G194</f>
        <v>0.57726724881153935</v>
      </c>
      <c r="E81" s="614">
        <f ca="1">+'Bal Mat Red'!G195</f>
        <v>12.71183591553133</v>
      </c>
      <c r="F81" s="614">
        <f ca="1">+'Bal Mat Red'!G196</f>
        <v>30.578118472364004</v>
      </c>
      <c r="G81" s="614">
        <f ca="1">+'Bal Mat Red'!G197</f>
        <v>12.761052802510985</v>
      </c>
      <c r="H81" s="614">
        <f ca="1">+'Bal Mat Red'!G198</f>
        <v>21.391335264882848</v>
      </c>
      <c r="I81" s="615">
        <f ca="1">+'Bal Mat Red'!G199</f>
        <v>0.80038660549920182</v>
      </c>
      <c r="J81" s="1224">
        <f ca="1">+(H81/F81)*0.79</f>
        <v>0</v>
      </c>
      <c r="K81" s="448"/>
      <c r="L81" s="429" t="s">
        <v>160</v>
      </c>
      <c r="M81" s="1024" t="str">
        <f>+Carga!AI45</f>
        <v>NACIONAL</v>
      </c>
      <c r="N81" s="430"/>
      <c r="O81" s="478">
        <f>+'Bal Mat Red'!G7*1000*(100/(100-Factores!G26))</f>
        <v>3059.1274909638787</v>
      </c>
      <c r="P81" s="634" t="s">
        <v>428</v>
      </c>
      <c r="Q81" s="477">
        <f>+O81/Q65</f>
        <v>2109.743097216468</v>
      </c>
      <c r="R81" s="480" t="s">
        <v>425</v>
      </c>
    </row>
    <row r="82" spans="2:19" ht="3" customHeight="1" thickBot="1">
      <c r="B82" s="430"/>
      <c r="C82" s="430"/>
      <c r="D82" s="485"/>
      <c r="E82" s="485"/>
      <c r="F82" s="485"/>
      <c r="G82" s="485"/>
      <c r="H82" s="485"/>
      <c r="I82" s="485"/>
      <c r="J82" s="485"/>
      <c r="K82" s="485"/>
      <c r="L82" s="429"/>
      <c r="M82" s="430"/>
      <c r="N82" s="430"/>
      <c r="O82" s="478"/>
      <c r="P82" s="634"/>
      <c r="Q82" s="477"/>
      <c r="R82" s="480"/>
    </row>
    <row r="83" spans="2:19" ht="15.75" customHeight="1">
      <c r="B83" s="430"/>
      <c r="C83" s="430"/>
      <c r="D83" s="440" t="s">
        <v>434</v>
      </c>
      <c r="E83" s="441" t="s">
        <v>435</v>
      </c>
      <c r="F83" s="441" t="s">
        <v>436</v>
      </c>
      <c r="G83" s="441" t="s">
        <v>437</v>
      </c>
      <c r="H83" s="441" t="s">
        <v>438</v>
      </c>
      <c r="I83" s="458" t="s">
        <v>518</v>
      </c>
      <c r="J83" s="1204"/>
      <c r="K83" s="486"/>
      <c r="L83" s="429" t="s">
        <v>553</v>
      </c>
      <c r="M83" s="430"/>
      <c r="N83" s="430"/>
      <c r="O83" s="478">
        <f>+Q59*Q65</f>
        <v>2013.3956663773649</v>
      </c>
      <c r="P83" s="634" t="s">
        <v>271</v>
      </c>
      <c r="Q83" s="477">
        <f>+O83/Q65</f>
        <v>1388.5487354326656</v>
      </c>
      <c r="R83" s="480" t="s">
        <v>268</v>
      </c>
      <c r="S83" s="1169">
        <f>+Q83</f>
        <v>1388.5487354326656</v>
      </c>
    </row>
    <row r="84" spans="2:19" ht="3" customHeight="1" thickBot="1">
      <c r="B84" s="430"/>
      <c r="C84" s="430"/>
      <c r="D84" s="488"/>
      <c r="E84" s="489"/>
      <c r="F84" s="489"/>
      <c r="G84" s="489"/>
      <c r="H84" s="490"/>
      <c r="I84" s="491"/>
      <c r="J84" s="483"/>
      <c r="K84" s="486"/>
      <c r="L84" s="429"/>
      <c r="M84" s="430"/>
      <c r="N84" s="430"/>
      <c r="O84" s="478"/>
      <c r="P84" s="634"/>
      <c r="Q84" s="477"/>
      <c r="R84" s="480"/>
    </row>
    <row r="85" spans="2:19" ht="15.75" customHeight="1">
      <c r="B85" s="425" t="s">
        <v>439</v>
      </c>
      <c r="C85" s="426"/>
      <c r="D85" s="594">
        <f ca="1">+'Bal Mat Red'!J231</f>
        <v>17.749369779825834</v>
      </c>
      <c r="E85" s="595">
        <f ca="1">+'Bal Mat Red'!J232</f>
        <v>0</v>
      </c>
      <c r="F85" s="595">
        <f ca="1">+'Bal Mat Red'!J233</f>
        <v>64.045762255334566</v>
      </c>
      <c r="G85" s="595">
        <f ca="1">+'Bal Mat Red'!J234</f>
        <v>4.5594739302231811E-2</v>
      </c>
      <c r="H85" s="595">
        <f ca="1">+'Bal Mat Red'!J235</f>
        <v>16.667066541779864</v>
      </c>
      <c r="I85" s="699">
        <f ca="1">+'Bal Mat Red'!J236</f>
        <v>1.4922066837575108</v>
      </c>
      <c r="J85" s="439"/>
      <c r="K85" s="439"/>
      <c r="L85" s="429" t="s">
        <v>429</v>
      </c>
      <c r="M85" s="430"/>
      <c r="N85" s="430"/>
      <c r="O85" s="478"/>
      <c r="P85" s="634"/>
      <c r="Q85" s="477">
        <f>+'Bal Mat Red'!K51</f>
        <v>7099.6625369273088</v>
      </c>
      <c r="R85" s="480" t="s">
        <v>268</v>
      </c>
      <c r="S85" s="1169">
        <f>+Q85/(1+'Conversion Flujos'!B21)</f>
        <v>7099.6625369273088</v>
      </c>
    </row>
    <row r="86" spans="2:19" ht="3" customHeight="1">
      <c r="B86" s="765"/>
      <c r="C86" s="766"/>
      <c r="D86" s="771"/>
      <c r="E86" s="617"/>
      <c r="F86" s="617"/>
      <c r="G86" s="617"/>
      <c r="H86" s="617"/>
      <c r="I86" s="609"/>
      <c r="K86" s="418"/>
      <c r="L86" s="429"/>
      <c r="M86" s="430"/>
      <c r="N86" s="430"/>
      <c r="O86" s="478"/>
      <c r="P86" s="634"/>
      <c r="Q86" s="477"/>
      <c r="R86" s="480"/>
      <c r="S86" s="1169"/>
    </row>
    <row r="87" spans="2:19" ht="15.75" customHeight="1" thickBot="1">
      <c r="B87" s="768" t="s">
        <v>440</v>
      </c>
      <c r="C87" s="769"/>
      <c r="D87" s="772">
        <f ca="1">+'Bal Mat Red'!N231</f>
        <v>7.854647304424403</v>
      </c>
      <c r="E87" s="616">
        <f ca="1">+'Bal Mat Red'!N232</f>
        <v>0</v>
      </c>
      <c r="F87" s="616">
        <f ca="1">+'Bal Mat Red'!N233</f>
        <v>32.129393847528483</v>
      </c>
      <c r="G87" s="616">
        <f ca="1">+'Bal Mat Red'!N234</f>
        <v>2.0177088009246641E-2</v>
      </c>
      <c r="H87" s="616">
        <f ca="1">+'Bal Mat Red'!N235</f>
        <v>58.328721818472971</v>
      </c>
      <c r="I87" s="615">
        <f ca="1">+'Bal Mat Red'!N236</f>
        <v>1.6670599415648883</v>
      </c>
      <c r="K87" s="418"/>
      <c r="L87" s="429" t="s">
        <v>430</v>
      </c>
      <c r="M87" s="430"/>
      <c r="N87" s="430"/>
      <c r="O87" s="478">
        <f>+Q87*Q65</f>
        <v>1567.7686590697999</v>
      </c>
      <c r="P87" s="634" t="s">
        <v>271</v>
      </c>
      <c r="Q87" s="477">
        <f>+'Bal Mat Red'!K52</f>
        <v>1081.2197648757242</v>
      </c>
      <c r="R87" s="480" t="s">
        <v>268</v>
      </c>
      <c r="S87" s="1169">
        <f>+Q87/(1+'Conversion Flujos'!B20)</f>
        <v>1081.2197648757242</v>
      </c>
    </row>
    <row r="88" spans="2:19" ht="3" customHeight="1">
      <c r="B88" s="766"/>
      <c r="C88" s="766"/>
      <c r="D88" s="766"/>
      <c r="K88" s="418"/>
      <c r="L88" s="428"/>
      <c r="M88" s="421"/>
      <c r="N88" s="421"/>
      <c r="O88" s="632"/>
      <c r="P88" s="638"/>
      <c r="Q88" s="632"/>
      <c r="R88" s="436"/>
    </row>
    <row r="89" spans="2:19" ht="15.75" customHeight="1" thickBot="1">
      <c r="B89" s="430"/>
      <c r="C89" s="430"/>
      <c r="D89" s="439"/>
      <c r="E89" s="439"/>
      <c r="F89" s="439"/>
      <c r="G89" s="470"/>
      <c r="H89" s="470"/>
      <c r="I89" s="439"/>
      <c r="J89" s="439"/>
      <c r="K89" s="439"/>
      <c r="L89" s="429" t="s">
        <v>230</v>
      </c>
      <c r="M89" s="430"/>
      <c r="N89" s="430"/>
      <c r="O89" s="632">
        <f ca="1">+'Bal Mat Red'!I184</f>
        <v>10.118154451391058</v>
      </c>
      <c r="P89" s="634" t="s">
        <v>756</v>
      </c>
      <c r="Q89" s="632">
        <f ca="1">+'Bal Mat Red'!C191</f>
        <v>12.647693064238823</v>
      </c>
      <c r="R89" s="480" t="s">
        <v>431</v>
      </c>
    </row>
    <row r="90" spans="2:19" ht="3" customHeight="1">
      <c r="B90" s="1248" t="s">
        <v>443</v>
      </c>
      <c r="C90" s="1249"/>
      <c r="D90" s="1249"/>
      <c r="E90" s="1249"/>
      <c r="F90" s="1249"/>
      <c r="G90" s="1249"/>
      <c r="H90" s="1250"/>
      <c r="I90" s="421"/>
      <c r="J90" s="421"/>
      <c r="K90" s="472"/>
      <c r="L90" s="429"/>
      <c r="M90" s="430"/>
      <c r="N90" s="430"/>
      <c r="O90" s="632"/>
      <c r="P90" s="634"/>
      <c r="Q90" s="632"/>
      <c r="R90" s="452"/>
    </row>
    <row r="91" spans="2:19" ht="15.75" customHeight="1" thickBot="1">
      <c r="B91" s="1251"/>
      <c r="C91" s="1252"/>
      <c r="D91" s="1252"/>
      <c r="E91" s="1252"/>
      <c r="F91" s="1252"/>
      <c r="G91" s="1252"/>
      <c r="H91" s="1253"/>
      <c r="I91" s="439"/>
      <c r="J91" s="439"/>
      <c r="K91" s="439"/>
      <c r="L91" s="429" t="s">
        <v>448</v>
      </c>
      <c r="M91" s="430"/>
      <c r="N91" s="430"/>
      <c r="O91" s="632"/>
      <c r="P91" s="634"/>
      <c r="Q91" s="632">
        <f ca="1">+'Bal Mat Red'!L196</f>
        <v>56.81114052990231</v>
      </c>
      <c r="R91" s="480" t="s">
        <v>431</v>
      </c>
    </row>
    <row r="92" spans="2:19" ht="3" customHeight="1" thickBot="1">
      <c r="D92" s="766"/>
      <c r="E92" s="421"/>
      <c r="F92" s="421"/>
      <c r="G92" s="421"/>
      <c r="H92" s="421"/>
      <c r="I92" s="421"/>
      <c r="J92" s="421"/>
      <c r="K92" s="472"/>
      <c r="L92" s="429"/>
      <c r="M92" s="430"/>
      <c r="N92" s="430"/>
      <c r="O92" s="632"/>
      <c r="P92" s="634"/>
      <c r="Q92" s="632"/>
      <c r="R92" s="452"/>
    </row>
    <row r="93" spans="2:19" ht="15.75" customHeight="1">
      <c r="B93" s="425" t="s">
        <v>441</v>
      </c>
      <c r="C93" s="426"/>
      <c r="D93" s="443"/>
      <c r="E93" s="444"/>
      <c r="F93" s="496"/>
      <c r="G93" s="642">
        <f>+'Bal Energ Red'!D72</f>
        <v>924.94796186965073</v>
      </c>
      <c r="H93" s="479" t="s">
        <v>334</v>
      </c>
      <c r="I93" s="439"/>
      <c r="J93" s="439"/>
      <c r="K93" s="439"/>
      <c r="L93" s="429" t="s">
        <v>232</v>
      </c>
      <c r="M93" s="430"/>
      <c r="N93" s="430"/>
      <c r="O93" s="632"/>
      <c r="P93" s="634"/>
      <c r="Q93" s="632">
        <f ca="1">+'Bal Mat Red'!C212</f>
        <v>5.2255785060181088</v>
      </c>
      <c r="R93" s="480" t="s">
        <v>431</v>
      </c>
    </row>
    <row r="94" spans="2:19" ht="3" customHeight="1">
      <c r="B94" s="765"/>
      <c r="C94" s="766"/>
      <c r="D94" s="766"/>
      <c r="E94" s="436"/>
      <c r="F94" s="428"/>
      <c r="G94" s="643"/>
      <c r="H94" s="480"/>
      <c r="I94" s="421"/>
      <c r="J94" s="421"/>
      <c r="K94" s="472"/>
      <c r="L94" s="428"/>
      <c r="M94" s="421"/>
      <c r="N94" s="421"/>
      <c r="O94" s="632"/>
      <c r="P94" s="638"/>
      <c r="Q94" s="632"/>
      <c r="R94" s="436"/>
    </row>
    <row r="95" spans="2:19" ht="15.75" customHeight="1">
      <c r="B95" s="429" t="s">
        <v>442</v>
      </c>
      <c r="C95" s="430"/>
      <c r="D95" s="439"/>
      <c r="E95" s="446"/>
      <c r="F95" s="428"/>
      <c r="G95" s="636">
        <f>+'Bal Energ Red'!D86</f>
        <v>1149.9479618696507</v>
      </c>
      <c r="H95" s="480" t="s">
        <v>334</v>
      </c>
      <c r="I95" s="439"/>
      <c r="J95" s="439"/>
      <c r="K95" s="439"/>
      <c r="L95" s="429" t="s">
        <v>231</v>
      </c>
      <c r="M95" s="430"/>
      <c r="N95" s="430"/>
      <c r="O95" s="632"/>
      <c r="P95" s="634"/>
      <c r="Q95" s="632">
        <f ca="1">+'Bal Mat Red'!G224</f>
        <v>5.9952078089004424</v>
      </c>
      <c r="R95" s="480" t="s">
        <v>431</v>
      </c>
    </row>
    <row r="96" spans="2:19" ht="3" customHeight="1">
      <c r="B96" s="765"/>
      <c r="C96" s="766"/>
      <c r="D96" s="766"/>
      <c r="E96" s="436"/>
      <c r="F96" s="428"/>
      <c r="G96" s="643"/>
      <c r="H96" s="480"/>
      <c r="I96" s="421"/>
      <c r="J96" s="421"/>
      <c r="K96" s="472"/>
      <c r="L96" s="429"/>
      <c r="M96" s="430"/>
      <c r="N96" s="430"/>
      <c r="O96" s="632"/>
      <c r="P96" s="634"/>
      <c r="Q96" s="632"/>
      <c r="R96" s="480"/>
    </row>
    <row r="97" spans="2:20" ht="15.75" customHeight="1">
      <c r="B97" s="429" t="s">
        <v>482</v>
      </c>
      <c r="C97" s="430"/>
      <c r="D97" s="439"/>
      <c r="E97" s="446"/>
      <c r="F97" s="428"/>
      <c r="G97" s="636">
        <f>+'Bal Energ Red'!D101</f>
        <v>1199.9479618696507</v>
      </c>
      <c r="H97" s="480" t="s">
        <v>334</v>
      </c>
      <c r="I97" s="439"/>
      <c r="J97" s="439"/>
      <c r="K97" s="439"/>
      <c r="L97" s="429" t="s">
        <v>432</v>
      </c>
      <c r="M97" s="430"/>
      <c r="N97" s="430"/>
      <c r="O97" s="632"/>
      <c r="P97" s="634"/>
      <c r="Q97" s="478">
        <f ca="1">+'Bal Mat Red'!M237</f>
        <v>41719.969472482902</v>
      </c>
      <c r="R97" s="480" t="s">
        <v>268</v>
      </c>
    </row>
    <row r="98" spans="2:20" ht="3" customHeight="1">
      <c r="B98" s="765"/>
      <c r="C98" s="766"/>
      <c r="D98" s="766"/>
      <c r="E98" s="436"/>
      <c r="F98" s="428"/>
      <c r="G98" s="643"/>
      <c r="H98" s="436"/>
      <c r="I98" s="421"/>
      <c r="J98" s="421"/>
      <c r="K98" s="472"/>
      <c r="L98" s="428"/>
      <c r="M98" s="421"/>
      <c r="N98" s="421"/>
      <c r="O98" s="632"/>
      <c r="P98" s="638"/>
      <c r="Q98" s="478"/>
      <c r="R98" s="436"/>
    </row>
    <row r="99" spans="2:20" ht="15.75" customHeight="1" thickBot="1">
      <c r="B99" s="781" t="s">
        <v>483</v>
      </c>
      <c r="C99" s="782"/>
      <c r="D99" s="783"/>
      <c r="E99" s="784"/>
      <c r="F99" s="785"/>
      <c r="G99" s="786">
        <f>+'Bal Energ Red'!D225</f>
        <v>1629.4237297126108</v>
      </c>
      <c r="H99" s="787" t="s">
        <v>334</v>
      </c>
      <c r="I99" s="439"/>
      <c r="J99" s="439"/>
      <c r="K99" s="439"/>
      <c r="L99" s="457" t="s">
        <v>433</v>
      </c>
      <c r="M99" s="433"/>
      <c r="N99" s="433"/>
      <c r="O99" s="633">
        <f>+Q99*Q65</f>
        <v>24768.885362287863</v>
      </c>
      <c r="P99" s="481" t="s">
        <v>428</v>
      </c>
      <c r="Q99" s="633">
        <f>+'Bal Mat Red'!O229</f>
        <v>17081.989905026112</v>
      </c>
      <c r="R99" s="481" t="s">
        <v>425</v>
      </c>
    </row>
    <row r="100" spans="2:20" ht="3" customHeight="1">
      <c r="B100" s="472"/>
      <c r="C100" s="472"/>
      <c r="D100" s="472"/>
      <c r="E100" s="421"/>
      <c r="F100" s="421"/>
      <c r="G100" s="421"/>
      <c r="H100" s="421"/>
      <c r="I100" s="421"/>
      <c r="J100" s="421"/>
      <c r="K100" s="472"/>
    </row>
    <row r="101" spans="2:20" ht="15.75" customHeight="1" thickBot="1">
      <c r="B101" s="430"/>
      <c r="C101" s="430"/>
      <c r="D101" s="439"/>
      <c r="E101" s="439"/>
      <c r="F101" s="439"/>
      <c r="G101" s="470"/>
      <c r="H101" s="471"/>
      <c r="I101" s="439"/>
      <c r="J101" s="439"/>
      <c r="K101" s="439"/>
    </row>
    <row r="102" spans="2:20" ht="20.25" customHeight="1" thickBot="1">
      <c r="B102" s="1254" t="s">
        <v>605</v>
      </c>
      <c r="C102" s="1255"/>
      <c r="D102" s="1255"/>
      <c r="E102" s="1255"/>
      <c r="F102" s="1255"/>
      <c r="G102" s="1255"/>
      <c r="H102" s="1255"/>
      <c r="I102" s="1255"/>
      <c r="J102" s="1255"/>
      <c r="K102" s="1255"/>
      <c r="L102" s="1255"/>
      <c r="M102" s="1255"/>
      <c r="N102" s="1255"/>
      <c r="O102" s="1255"/>
      <c r="P102" s="1255"/>
      <c r="Q102" s="1255"/>
      <c r="R102" s="1256"/>
    </row>
    <row r="103" spans="2:20" ht="12" customHeight="1" thickBot="1">
      <c r="B103" s="499"/>
      <c r="C103" s="499"/>
      <c r="D103" s="499"/>
      <c r="E103" s="500"/>
      <c r="F103" s="501"/>
      <c r="G103" s="463"/>
      <c r="H103" s="499"/>
      <c r="I103" s="1012"/>
      <c r="J103" s="499"/>
      <c r="K103" s="499"/>
      <c r="L103" s="463"/>
      <c r="M103" s="463"/>
      <c r="N103" s="499"/>
      <c r="O103" s="463"/>
      <c r="P103" s="502"/>
      <c r="Q103" s="497"/>
      <c r="R103" s="503"/>
    </row>
    <row r="104" spans="2:20" ht="15.75" customHeight="1">
      <c r="B104" s="568" t="s">
        <v>604</v>
      </c>
      <c r="C104" s="569"/>
      <c r="D104" s="646">
        <f>+O83+O36</f>
        <v>11497.227525119122</v>
      </c>
      <c r="E104" s="570" t="s">
        <v>271</v>
      </c>
      <c r="F104" s="571"/>
      <c r="G104" s="577"/>
      <c r="H104" s="581"/>
      <c r="I104" s="1011"/>
      <c r="L104" s="568" t="s">
        <v>448</v>
      </c>
      <c r="M104" s="424"/>
      <c r="N104" s="569"/>
      <c r="O104" s="644">
        <f ca="1">+'Bal Mat Red'!L196</f>
        <v>56.81114052990231</v>
      </c>
      <c r="P104" s="577"/>
      <c r="Q104" s="578" t="s">
        <v>431</v>
      </c>
      <c r="R104" s="572"/>
      <c r="S104" s="705">
        <f ca="1">+(O104*'Bal Mat Fus'!L18/'Bal Mat Fus'!L22)+Q67+100</f>
        <v>3302.9834784970071</v>
      </c>
      <c r="T104" s="683" t="s">
        <v>292</v>
      </c>
    </row>
    <row r="105" spans="2:20" ht="15.75" customHeight="1">
      <c r="B105" s="573" t="s">
        <v>160</v>
      </c>
      <c r="C105" s="499"/>
      <c r="D105" s="647">
        <f>('Bal Mat Red'!G7+'Bal Mat Fus'!F7)*1000</f>
        <v>13536.321817906097</v>
      </c>
      <c r="E105" s="500" t="s">
        <v>428</v>
      </c>
      <c r="F105" s="501"/>
      <c r="G105" s="463"/>
      <c r="H105" s="582"/>
      <c r="I105" s="1011"/>
      <c r="L105" s="573" t="s">
        <v>458</v>
      </c>
      <c r="M105" s="421"/>
      <c r="N105" s="499"/>
      <c r="O105" s="639">
        <f ca="1">+'Bal Mat Red'!J205</f>
        <v>13.224851608635177</v>
      </c>
      <c r="P105" s="463"/>
      <c r="Q105" s="567" t="s">
        <v>431</v>
      </c>
      <c r="R105" s="492"/>
      <c r="S105" s="678"/>
    </row>
    <row r="106" spans="2:20" ht="16.5" customHeight="1">
      <c r="B106" s="573" t="s">
        <v>603</v>
      </c>
      <c r="C106" s="499"/>
      <c r="D106" s="647">
        <f>+O87+O40</f>
        <v>16186.953680993392</v>
      </c>
      <c r="E106" s="500" t="s">
        <v>271</v>
      </c>
      <c r="F106" s="501"/>
      <c r="G106" s="463"/>
      <c r="H106" s="582"/>
      <c r="I106" s="1011"/>
      <c r="J106" s="1012"/>
      <c r="L106" s="573" t="s">
        <v>231</v>
      </c>
      <c r="M106" s="421"/>
      <c r="N106" s="499"/>
      <c r="O106" s="639">
        <f ca="1">+'Bal Mat Red'!O217</f>
        <v>14.730551749606155</v>
      </c>
      <c r="P106" s="463"/>
      <c r="Q106" s="567" t="s">
        <v>431</v>
      </c>
      <c r="R106" s="492"/>
      <c r="S106" s="678"/>
    </row>
    <row r="107" spans="2:20" ht="15.75" customHeight="1" thickBot="1">
      <c r="B107" s="574" t="s">
        <v>230</v>
      </c>
      <c r="C107" s="575"/>
      <c r="D107" s="645">
        <f ca="1">+'Bal Mat Red'!I187</f>
        <v>33.897693064238823</v>
      </c>
      <c r="E107" s="576" t="s">
        <v>431</v>
      </c>
      <c r="F107" s="648">
        <f ca="1">+'Bal Mat Red'!I186</f>
        <v>27.118154451391057</v>
      </c>
      <c r="G107" s="579" t="s">
        <v>427</v>
      </c>
      <c r="H107" s="454"/>
      <c r="L107" s="457" t="s">
        <v>549</v>
      </c>
      <c r="M107" s="433"/>
      <c r="N107" s="433"/>
      <c r="O107" s="842">
        <f ca="1">+(Q42*D26/100+Q89*D75/100)/'Bal Mat Fus'!M27*100</f>
        <v>71.388265283653311</v>
      </c>
      <c r="P107" s="433"/>
      <c r="Q107" s="498" t="s">
        <v>212</v>
      </c>
      <c r="R107" s="580"/>
    </row>
    <row r="108" spans="2:20" ht="3" customHeight="1">
      <c r="B108" s="499"/>
      <c r="C108" s="499"/>
      <c r="D108" s="499"/>
      <c r="E108" s="500"/>
      <c r="F108" s="501"/>
      <c r="G108" s="463"/>
      <c r="H108" s="499"/>
      <c r="I108" s="499"/>
      <c r="J108" s="499"/>
      <c r="K108" s="499"/>
      <c r="L108" s="463"/>
      <c r="M108" s="463"/>
      <c r="N108" s="499"/>
      <c r="O108" s="463"/>
      <c r="P108" s="502"/>
      <c r="Q108" s="497"/>
      <c r="R108" s="503"/>
    </row>
    <row r="109" spans="2:20" ht="15.75" customHeight="1">
      <c r="B109" s="416" t="s">
        <v>606</v>
      </c>
      <c r="C109" s="499"/>
      <c r="D109" s="499"/>
      <c r="E109" s="500"/>
      <c r="F109" s="501"/>
      <c r="G109" s="463"/>
      <c r="H109" s="499"/>
      <c r="I109" s="499"/>
      <c r="J109" s="499"/>
      <c r="K109" s="499"/>
      <c r="L109" s="463"/>
      <c r="M109" s="463"/>
      <c r="N109" s="499"/>
      <c r="O109" s="463"/>
      <c r="P109" s="502"/>
      <c r="Q109" s="504"/>
      <c r="R109" s="501"/>
    </row>
    <row r="110" spans="2:20" ht="3" customHeight="1">
      <c r="C110" s="499"/>
      <c r="D110" s="499"/>
      <c r="E110" s="500"/>
      <c r="F110" s="501"/>
      <c r="G110" s="463"/>
      <c r="H110" s="499"/>
      <c r="I110" s="499"/>
      <c r="J110" s="499"/>
      <c r="K110" s="499"/>
      <c r="L110" s="463"/>
      <c r="M110" s="463"/>
      <c r="N110" s="499"/>
      <c r="O110" s="463"/>
      <c r="P110" s="502"/>
      <c r="Q110" s="497"/>
      <c r="R110" s="503"/>
    </row>
    <row r="111" spans="2:20" ht="15.75" customHeight="1">
      <c r="C111" s="499"/>
      <c r="D111" s="499"/>
      <c r="E111" s="500"/>
      <c r="F111" s="501"/>
      <c r="G111" s="463"/>
      <c r="H111" s="499"/>
      <c r="I111" s="499"/>
      <c r="J111" s="499"/>
      <c r="K111" s="499"/>
      <c r="L111" s="463"/>
      <c r="M111" s="463"/>
      <c r="N111" s="499"/>
      <c r="O111" s="463"/>
      <c r="P111" s="502"/>
      <c r="Q111" s="504"/>
      <c r="R111" s="501"/>
    </row>
    <row r="112" spans="2:20" ht="3" customHeight="1">
      <c r="C112" s="499"/>
      <c r="D112" s="499"/>
      <c r="E112" s="500"/>
      <c r="F112" s="501"/>
      <c r="G112" s="463"/>
      <c r="H112" s="499"/>
      <c r="I112" s="499"/>
      <c r="J112" s="499"/>
      <c r="K112" s="499"/>
      <c r="L112" s="463"/>
      <c r="M112" s="463"/>
      <c r="N112" s="499"/>
      <c r="O112" s="463"/>
      <c r="P112" s="502"/>
      <c r="Q112" s="497"/>
      <c r="R112" s="503"/>
    </row>
    <row r="113" spans="2:18" ht="15.75" customHeight="1">
      <c r="C113" s="499"/>
      <c r="D113" s="499"/>
      <c r="E113" s="500"/>
      <c r="F113" s="501"/>
      <c r="G113" s="463"/>
      <c r="H113" s="499"/>
      <c r="I113" s="499"/>
      <c r="J113" s="499"/>
      <c r="K113" s="499"/>
      <c r="L113" s="463"/>
      <c r="M113" s="463"/>
      <c r="N113" s="499"/>
      <c r="O113" s="463"/>
      <c r="P113" s="502"/>
      <c r="Q113" s="504"/>
      <c r="R113" s="501"/>
    </row>
    <row r="114" spans="2:18" ht="3" customHeight="1">
      <c r="B114" s="499"/>
      <c r="C114" s="499"/>
      <c r="D114" s="499"/>
      <c r="E114" s="500"/>
      <c r="F114" s="501"/>
      <c r="G114" s="463"/>
      <c r="H114" s="499"/>
      <c r="I114" s="499"/>
      <c r="J114" s="499"/>
      <c r="K114" s="499"/>
      <c r="L114" s="463"/>
      <c r="M114" s="463"/>
      <c r="N114" s="499"/>
      <c r="O114" s="463"/>
      <c r="P114" s="502"/>
      <c r="Q114" s="497"/>
      <c r="R114" s="503"/>
    </row>
    <row r="115" spans="2:18" ht="15.75" customHeight="1">
      <c r="B115" s="499"/>
      <c r="C115" s="499"/>
      <c r="D115" s="499"/>
      <c r="E115" s="500"/>
      <c r="F115" s="501"/>
      <c r="G115" s="463"/>
      <c r="H115" s="499"/>
      <c r="I115" s="499"/>
      <c r="J115" s="499"/>
      <c r="K115" s="499"/>
      <c r="L115" s="463"/>
      <c r="M115" s="463"/>
      <c r="N115" s="499"/>
      <c r="O115" s="463"/>
      <c r="P115" s="502"/>
      <c r="Q115" s="504"/>
      <c r="R115" s="501"/>
    </row>
    <row r="116" spans="2:18" ht="3" customHeight="1">
      <c r="B116" s="499"/>
      <c r="C116" s="499"/>
      <c r="D116" s="499"/>
      <c r="E116" s="500"/>
      <c r="F116" s="501"/>
      <c r="G116" s="463"/>
      <c r="H116" s="499"/>
      <c r="I116" s="499"/>
      <c r="J116" s="499"/>
      <c r="K116" s="499"/>
      <c r="L116" s="463"/>
      <c r="M116" s="463"/>
      <c r="N116" s="499"/>
      <c r="O116" s="463"/>
      <c r="P116" s="502"/>
      <c r="Q116" s="497"/>
      <c r="R116" s="503"/>
    </row>
    <row r="117" spans="2:18" ht="15.75" customHeight="1">
      <c r="B117" s="499"/>
      <c r="C117" s="499"/>
      <c r="D117" s="499"/>
      <c r="E117" s="500"/>
      <c r="F117" s="501"/>
      <c r="G117" s="463"/>
      <c r="H117" s="499"/>
      <c r="I117" s="499"/>
      <c r="J117" s="499"/>
      <c r="K117" s="499"/>
      <c r="L117" s="463"/>
      <c r="M117" s="463"/>
      <c r="N117" s="499"/>
      <c r="O117" s="463"/>
      <c r="P117" s="502"/>
      <c r="Q117" s="504"/>
      <c r="R117" s="501"/>
    </row>
    <row r="118" spans="2:18" ht="3" customHeight="1">
      <c r="B118" s="499"/>
      <c r="C118" s="499"/>
      <c r="D118" s="499"/>
      <c r="E118" s="500"/>
      <c r="F118" s="501"/>
      <c r="G118" s="463"/>
      <c r="H118" s="499"/>
      <c r="I118" s="499"/>
      <c r="J118" s="499"/>
      <c r="K118" s="499"/>
      <c r="L118" s="463"/>
      <c r="M118" s="463"/>
      <c r="N118" s="499"/>
      <c r="O118" s="463"/>
      <c r="P118" s="502"/>
      <c r="Q118" s="497"/>
      <c r="R118" s="503"/>
    </row>
    <row r="119" spans="2:18" ht="15.75" customHeight="1">
      <c r="B119" s="499"/>
      <c r="C119" s="499"/>
      <c r="D119" s="499"/>
      <c r="E119" s="500"/>
      <c r="F119" s="501"/>
      <c r="G119" s="463"/>
      <c r="H119" s="499"/>
      <c r="I119" s="499"/>
      <c r="J119" s="499"/>
      <c r="K119" s="499"/>
      <c r="L119" s="463"/>
      <c r="M119" s="463"/>
      <c r="N119" s="499"/>
      <c r="O119" s="463"/>
      <c r="P119" s="502"/>
      <c r="Q119" s="504"/>
      <c r="R119" s="501"/>
    </row>
    <row r="120" spans="2:18" ht="3" customHeight="1">
      <c r="B120" s="499"/>
      <c r="C120" s="499"/>
      <c r="D120" s="499"/>
      <c r="E120" s="500"/>
      <c r="F120" s="501"/>
      <c r="G120" s="463"/>
      <c r="H120" s="499"/>
      <c r="I120" s="499"/>
      <c r="J120" s="499"/>
      <c r="K120" s="499"/>
      <c r="L120" s="463"/>
      <c r="M120" s="463"/>
      <c r="N120" s="499"/>
      <c r="O120" s="463"/>
      <c r="P120" s="502"/>
      <c r="Q120" s="497"/>
      <c r="R120" s="503"/>
    </row>
    <row r="121" spans="2:18" ht="15.75" customHeight="1">
      <c r="B121" s="499"/>
      <c r="C121" s="499"/>
      <c r="D121" s="499"/>
      <c r="E121" s="500"/>
      <c r="F121" s="501"/>
      <c r="G121" s="463"/>
      <c r="H121" s="499"/>
      <c r="I121" s="499"/>
      <c r="J121" s="499"/>
      <c r="K121" s="499"/>
      <c r="L121" s="463"/>
      <c r="M121" s="463"/>
      <c r="N121" s="499"/>
      <c r="O121" s="463"/>
      <c r="P121" s="502"/>
      <c r="Q121" s="504"/>
      <c r="R121" s="501"/>
    </row>
    <row r="122" spans="2:18" ht="3" customHeight="1">
      <c r="B122" s="499"/>
      <c r="C122" s="499"/>
      <c r="D122" s="499"/>
      <c r="E122" s="500"/>
      <c r="F122" s="501"/>
      <c r="G122" s="463"/>
      <c r="H122" s="499"/>
      <c r="I122" s="499"/>
      <c r="J122" s="499"/>
      <c r="K122" s="499"/>
      <c r="L122" s="463"/>
      <c r="M122" s="463"/>
      <c r="N122" s="499"/>
      <c r="O122" s="463"/>
      <c r="P122" s="502"/>
      <c r="Q122" s="497"/>
      <c r="R122" s="503"/>
    </row>
    <row r="123" spans="2:18" ht="15.75" customHeight="1">
      <c r="B123" s="499"/>
      <c r="C123" s="499"/>
      <c r="D123" s="499"/>
      <c r="E123" s="500"/>
      <c r="F123" s="501"/>
      <c r="G123" s="463"/>
      <c r="H123" s="499"/>
      <c r="I123" s="499"/>
      <c r="J123" s="499"/>
      <c r="K123" s="499"/>
      <c r="L123" s="463"/>
      <c r="M123" s="463"/>
      <c r="N123" s="499"/>
      <c r="O123" s="463"/>
      <c r="P123" s="502"/>
      <c r="Q123" s="504"/>
      <c r="R123" s="501"/>
    </row>
    <row r="124" spans="2:18" ht="3" customHeight="1">
      <c r="B124" s="499"/>
      <c r="C124" s="499"/>
      <c r="D124" s="499"/>
      <c r="E124" s="500"/>
      <c r="F124" s="501"/>
      <c r="G124" s="463"/>
      <c r="H124" s="499"/>
      <c r="I124" s="499"/>
      <c r="J124" s="499"/>
      <c r="K124" s="499"/>
      <c r="L124" s="463"/>
      <c r="M124" s="463"/>
      <c r="N124" s="499"/>
      <c r="O124" s="463"/>
      <c r="P124" s="502"/>
      <c r="Q124" s="497"/>
      <c r="R124" s="503"/>
    </row>
    <row r="125" spans="2:18" ht="15.75" customHeight="1">
      <c r="B125" s="499"/>
      <c r="C125" s="499"/>
      <c r="D125" s="499"/>
      <c r="E125" s="500"/>
      <c r="F125" s="501"/>
      <c r="G125" s="463"/>
      <c r="H125" s="499"/>
      <c r="I125" s="499"/>
      <c r="J125" s="499"/>
      <c r="K125" s="499"/>
      <c r="L125" s="463"/>
      <c r="M125" s="463"/>
      <c r="N125" s="499"/>
      <c r="O125" s="463"/>
      <c r="P125" s="502"/>
      <c r="Q125" s="504"/>
      <c r="R125" s="501"/>
    </row>
    <row r="126" spans="2:18" ht="3" customHeight="1">
      <c r="B126" s="499"/>
      <c r="C126" s="499"/>
      <c r="D126" s="499"/>
      <c r="E126" s="500"/>
      <c r="F126" s="501"/>
      <c r="G126" s="463"/>
      <c r="H126" s="499"/>
      <c r="I126" s="499"/>
      <c r="J126" s="499"/>
      <c r="K126" s="499"/>
      <c r="L126" s="463"/>
      <c r="M126" s="463"/>
      <c r="N126" s="499"/>
      <c r="O126" s="463"/>
      <c r="P126" s="502"/>
      <c r="Q126" s="497"/>
      <c r="R126" s="503"/>
    </row>
    <row r="127" spans="2:18" ht="15.75" customHeight="1">
      <c r="B127" s="499"/>
      <c r="C127" s="499"/>
      <c r="D127" s="499"/>
      <c r="E127" s="500"/>
      <c r="F127" s="501"/>
      <c r="G127" s="463"/>
      <c r="H127" s="499"/>
      <c r="I127" s="499"/>
      <c r="J127" s="499"/>
      <c r="K127" s="499"/>
      <c r="L127" s="463"/>
      <c r="M127" s="463"/>
      <c r="N127" s="499"/>
      <c r="O127" s="463"/>
      <c r="P127" s="502"/>
      <c r="Q127" s="504"/>
      <c r="R127" s="501"/>
    </row>
    <row r="128" spans="2:18" ht="3" customHeight="1">
      <c r="B128" s="499"/>
      <c r="C128" s="499"/>
      <c r="D128" s="499"/>
      <c r="E128" s="500"/>
      <c r="F128" s="501"/>
      <c r="G128" s="463"/>
      <c r="H128" s="499"/>
      <c r="I128" s="499"/>
      <c r="J128" s="499"/>
      <c r="K128" s="499"/>
      <c r="L128" s="463"/>
      <c r="M128" s="463"/>
      <c r="N128" s="499"/>
      <c r="O128" s="463"/>
      <c r="P128" s="502"/>
      <c r="Q128" s="497"/>
      <c r="R128" s="503"/>
    </row>
    <row r="129" spans="2:18" ht="15.75" customHeight="1">
      <c r="B129" s="499"/>
      <c r="C129" s="499"/>
      <c r="D129" s="499"/>
      <c r="E129" s="500"/>
      <c r="F129" s="501"/>
      <c r="G129" s="463"/>
      <c r="H129" s="499"/>
      <c r="I129" s="499"/>
      <c r="J129" s="499"/>
      <c r="K129" s="499"/>
      <c r="L129" s="463"/>
      <c r="M129" s="463"/>
      <c r="N129" s="499"/>
      <c r="O129" s="463"/>
      <c r="P129" s="502"/>
      <c r="Q129" s="504"/>
      <c r="R129" s="501"/>
    </row>
    <row r="130" spans="2:18" ht="3" customHeight="1">
      <c r="B130" s="499"/>
      <c r="C130" s="499"/>
      <c r="D130" s="499"/>
      <c r="E130" s="500"/>
      <c r="F130" s="501"/>
      <c r="G130" s="463"/>
      <c r="H130" s="499"/>
      <c r="I130" s="499"/>
      <c r="J130" s="499"/>
      <c r="K130" s="499"/>
      <c r="L130" s="463"/>
      <c r="M130" s="463"/>
      <c r="N130" s="499"/>
      <c r="O130" s="463"/>
      <c r="P130" s="502"/>
      <c r="Q130" s="497"/>
      <c r="R130" s="503"/>
    </row>
    <row r="131" spans="2:18" ht="15.75" customHeight="1">
      <c r="B131" s="499"/>
      <c r="C131" s="499"/>
      <c r="D131" s="499"/>
      <c r="E131" s="500"/>
      <c r="F131" s="501"/>
      <c r="G131" s="463"/>
      <c r="H131" s="499"/>
      <c r="I131" s="499"/>
      <c r="J131" s="499"/>
      <c r="K131" s="499"/>
      <c r="L131" s="463"/>
      <c r="M131" s="463"/>
      <c r="N131" s="499"/>
      <c r="O131" s="463"/>
      <c r="P131" s="502"/>
      <c r="Q131" s="504"/>
      <c r="R131" s="501"/>
    </row>
    <row r="132" spans="2:18" ht="3" customHeight="1">
      <c r="B132" s="499"/>
      <c r="C132" s="499"/>
      <c r="D132" s="499"/>
      <c r="E132" s="500"/>
      <c r="F132" s="501"/>
      <c r="G132" s="463"/>
      <c r="H132" s="499"/>
      <c r="I132" s="499"/>
      <c r="J132" s="499"/>
      <c r="K132" s="499"/>
      <c r="L132" s="463"/>
      <c r="M132" s="463"/>
      <c r="N132" s="499"/>
      <c r="O132" s="463"/>
      <c r="P132" s="502"/>
      <c r="Q132" s="497"/>
      <c r="R132" s="503"/>
    </row>
    <row r="133" spans="2:18" ht="15.75" customHeight="1">
      <c r="B133" s="499"/>
      <c r="C133" s="499"/>
      <c r="D133" s="499"/>
      <c r="E133" s="500"/>
      <c r="F133" s="501"/>
      <c r="G133" s="463"/>
      <c r="H133" s="499"/>
      <c r="I133" s="499"/>
      <c r="J133" s="499"/>
      <c r="K133" s="499"/>
      <c r="L133" s="463"/>
      <c r="M133" s="463"/>
      <c r="N133" s="499"/>
      <c r="O133" s="463"/>
      <c r="P133" s="502"/>
      <c r="Q133" s="504"/>
      <c r="R133" s="501"/>
    </row>
    <row r="134" spans="2:18" ht="3" customHeight="1">
      <c r="B134" s="499"/>
      <c r="C134" s="499"/>
      <c r="D134" s="499"/>
      <c r="E134" s="500"/>
      <c r="F134" s="501"/>
      <c r="G134" s="463"/>
      <c r="H134" s="499"/>
      <c r="I134" s="499"/>
      <c r="J134" s="499"/>
      <c r="K134" s="499"/>
      <c r="L134" s="463"/>
      <c r="M134" s="463"/>
      <c r="N134" s="499"/>
      <c r="O134" s="463"/>
      <c r="P134" s="502"/>
      <c r="Q134" s="497"/>
      <c r="R134" s="503"/>
    </row>
    <row r="135" spans="2:18" ht="15.75" customHeight="1">
      <c r="B135" s="499"/>
      <c r="C135" s="499"/>
      <c r="D135" s="499"/>
      <c r="E135" s="500"/>
      <c r="F135" s="501"/>
      <c r="G135" s="463"/>
      <c r="H135" s="499"/>
      <c r="I135" s="499"/>
      <c r="J135" s="499"/>
      <c r="K135" s="499"/>
      <c r="L135" s="463"/>
      <c r="M135" s="463"/>
      <c r="N135" s="499"/>
      <c r="O135" s="463"/>
      <c r="P135" s="502"/>
      <c r="Q135" s="504"/>
      <c r="R135" s="501"/>
    </row>
    <row r="136" spans="2:18" ht="3" customHeight="1">
      <c r="B136" s="499"/>
      <c r="C136" s="499"/>
      <c r="D136" s="499"/>
      <c r="E136" s="500"/>
      <c r="F136" s="501"/>
      <c r="G136" s="463"/>
      <c r="H136" s="499"/>
      <c r="I136" s="499"/>
      <c r="J136" s="499"/>
      <c r="K136" s="499"/>
      <c r="L136" s="463"/>
      <c r="M136" s="463"/>
      <c r="N136" s="499"/>
      <c r="O136" s="463"/>
      <c r="P136" s="502"/>
      <c r="Q136" s="497"/>
      <c r="R136" s="503"/>
    </row>
    <row r="137" spans="2:18" ht="15.75" customHeight="1">
      <c r="B137" s="499"/>
      <c r="C137" s="499"/>
      <c r="D137" s="499"/>
      <c r="E137" s="500"/>
      <c r="F137" s="501"/>
      <c r="G137" s="463"/>
      <c r="H137" s="499"/>
      <c r="I137" s="499"/>
      <c r="J137" s="499"/>
      <c r="K137" s="499"/>
      <c r="L137" s="463"/>
      <c r="M137" s="463"/>
      <c r="N137" s="499"/>
      <c r="O137" s="463"/>
      <c r="P137" s="502"/>
      <c r="Q137" s="504"/>
      <c r="R137" s="501"/>
    </row>
    <row r="138" spans="2:18" ht="3" customHeight="1">
      <c r="B138" s="499"/>
      <c r="C138" s="499"/>
      <c r="D138" s="499"/>
      <c r="E138" s="500"/>
      <c r="F138" s="501"/>
      <c r="G138" s="463"/>
      <c r="H138" s="499"/>
      <c r="I138" s="499"/>
      <c r="J138" s="499"/>
      <c r="K138" s="499"/>
      <c r="L138" s="463"/>
      <c r="M138" s="463"/>
      <c r="N138" s="499"/>
      <c r="O138" s="463"/>
      <c r="P138" s="502"/>
      <c r="Q138" s="497"/>
      <c r="R138" s="503"/>
    </row>
    <row r="139" spans="2:18" ht="15.75" customHeight="1">
      <c r="B139" s="499"/>
      <c r="C139" s="499"/>
      <c r="D139" s="499"/>
      <c r="E139" s="500"/>
      <c r="F139" s="501"/>
      <c r="G139" s="463"/>
      <c r="H139" s="499"/>
      <c r="I139" s="499"/>
      <c r="J139" s="499"/>
      <c r="K139" s="499"/>
      <c r="L139" s="463"/>
      <c r="M139" s="463"/>
      <c r="N139" s="499"/>
      <c r="O139" s="463"/>
      <c r="P139" s="502"/>
      <c r="Q139" s="504"/>
      <c r="R139" s="501"/>
    </row>
    <row r="140" spans="2:18" ht="3" customHeight="1">
      <c r="B140" s="499"/>
      <c r="C140" s="499"/>
      <c r="D140" s="499"/>
      <c r="E140" s="500"/>
      <c r="F140" s="501"/>
      <c r="G140" s="463"/>
      <c r="H140" s="499"/>
      <c r="I140" s="499"/>
      <c r="J140" s="499"/>
      <c r="K140" s="499"/>
      <c r="L140" s="463"/>
      <c r="M140" s="463"/>
      <c r="N140" s="499"/>
      <c r="O140" s="463"/>
      <c r="P140" s="502"/>
      <c r="Q140" s="497"/>
      <c r="R140" s="503"/>
    </row>
    <row r="141" spans="2:18" ht="15.75" customHeight="1">
      <c r="B141" s="499"/>
      <c r="C141" s="499"/>
      <c r="D141" s="499"/>
      <c r="E141" s="500"/>
      <c r="F141" s="501"/>
      <c r="G141" s="463"/>
      <c r="H141" s="499"/>
      <c r="I141" s="499"/>
      <c r="J141" s="499"/>
      <c r="K141" s="499"/>
      <c r="L141" s="463"/>
      <c r="M141" s="463"/>
      <c r="N141" s="499"/>
      <c r="O141" s="463"/>
      <c r="P141" s="502"/>
      <c r="Q141" s="504"/>
      <c r="R141" s="501"/>
    </row>
    <row r="142" spans="2:18" ht="3" customHeight="1">
      <c r="B142" s="499"/>
      <c r="C142" s="499"/>
      <c r="D142" s="499"/>
      <c r="E142" s="500"/>
      <c r="F142" s="501"/>
      <c r="G142" s="463"/>
      <c r="H142" s="499"/>
      <c r="I142" s="499"/>
      <c r="J142" s="499"/>
      <c r="K142" s="499"/>
      <c r="L142" s="463"/>
      <c r="M142" s="463"/>
      <c r="N142" s="499"/>
      <c r="O142" s="463"/>
      <c r="P142" s="502"/>
      <c r="Q142" s="497"/>
      <c r="R142" s="503"/>
    </row>
    <row r="143" spans="2:18" ht="15.75" customHeight="1">
      <c r="B143" s="499"/>
      <c r="C143" s="499"/>
      <c r="D143" s="499"/>
      <c r="E143" s="500"/>
      <c r="F143" s="501"/>
      <c r="G143" s="463"/>
      <c r="H143" s="499"/>
      <c r="I143" s="499"/>
      <c r="J143" s="499"/>
      <c r="K143" s="499"/>
      <c r="L143" s="463"/>
      <c r="M143" s="463"/>
      <c r="N143" s="499"/>
      <c r="O143" s="463"/>
      <c r="P143" s="502"/>
      <c r="Q143" s="504"/>
      <c r="R143" s="501"/>
    </row>
  </sheetData>
  <sheetProtection formatCells="0"/>
  <mergeCells count="15">
    <mergeCell ref="B102:R102"/>
    <mergeCell ref="L77:R77"/>
    <mergeCell ref="B90:H91"/>
    <mergeCell ref="L30:R30"/>
    <mergeCell ref="B59:J59"/>
    <mergeCell ref="B71:I71"/>
    <mergeCell ref="B22:I22"/>
    <mergeCell ref="B41:H42"/>
    <mergeCell ref="B55:R55"/>
    <mergeCell ref="L57:R57"/>
    <mergeCell ref="B2:R3"/>
    <mergeCell ref="L8:R8"/>
    <mergeCell ref="B6:R6"/>
    <mergeCell ref="B10:J10"/>
    <mergeCell ref="Q5:R5"/>
  </mergeCells>
  <phoneticPr fontId="10" type="noConversion"/>
  <conditionalFormatting sqref="V16">
    <cfRule type="cellIs" dxfId="0" priority="1" stopIfTrue="1" operator="equal">
      <formula>"Espere ..."</formula>
    </cfRule>
  </conditionalFormatting>
  <pageMargins left="0.56000000000000005" right="0.42" top="0.91" bottom="0.56999999999999995" header="0.5" footer="0.43"/>
  <pageSetup paperSize="9" scale="65" orientation="portrait" horizontalDpi="300" verticalDpi="300" r:id="rId1"/>
  <headerFooter alignWithMargins="0"/>
  <ignoredErrors>
    <ignoredError sqref="V24:V2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5" r:id="rId4" name="Group Box 21">
              <controlPr locked="0" defaultSize="0" autoFill="0" autoPict="0">
                <anchor moveWithCells="1" sizeWithCells="1">
                  <from>
                    <xdr:col>19</xdr:col>
                    <xdr:colOff>22860</xdr:colOff>
                    <xdr:row>13</xdr:row>
                    <xdr:rowOff>22860</xdr:rowOff>
                  </from>
                  <to>
                    <xdr:col>21</xdr:col>
                    <xdr:colOff>152400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5" name="Option Button 22">
              <controlPr locked="0" defaultSize="0" autoFill="0" autoLine="0" autoPict="0" macro="[0]!ColorOxi">
                <anchor moveWithCells="1" sizeWithCells="1">
                  <from>
                    <xdr:col>19</xdr:col>
                    <xdr:colOff>114300</xdr:colOff>
                    <xdr:row>13</xdr:row>
                    <xdr:rowOff>99060</xdr:rowOff>
                  </from>
                  <to>
                    <xdr:col>21</xdr:col>
                    <xdr:colOff>7620</xdr:colOff>
                    <xdr:row>15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6" name="Option Button 23">
              <controlPr locked="0" defaultSize="0" autoFill="0" autoLine="0" autoPict="0" macro="[0]!ColorAire">
                <anchor moveWithCells="1" sizeWithCells="1">
                  <from>
                    <xdr:col>19</xdr:col>
                    <xdr:colOff>129540</xdr:colOff>
                    <xdr:row>15</xdr:row>
                    <xdr:rowOff>91440</xdr:rowOff>
                  </from>
                  <to>
                    <xdr:col>21</xdr:col>
                    <xdr:colOff>121920</xdr:colOff>
                    <xdr:row>17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7" name="Group Box 1053">
              <controlPr locked="0" defaultSize="0" autoFill="0" autoPict="0">
                <anchor moveWithCells="1" sizeWithCells="1">
                  <from>
                    <xdr:col>18</xdr:col>
                    <xdr:colOff>495300</xdr:colOff>
                    <xdr:row>62</xdr:row>
                    <xdr:rowOff>22860</xdr:rowOff>
                  </from>
                  <to>
                    <xdr:col>21</xdr:col>
                    <xdr:colOff>121920</xdr:colOff>
                    <xdr:row>66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8" name="Option Button 1054">
              <controlPr locked="0" defaultSize="0" autoFill="0" autoLine="0" autoPict="0" macro="[0]!ColorOxi">
                <anchor moveWithCells="1" sizeWithCells="1">
                  <from>
                    <xdr:col>19</xdr:col>
                    <xdr:colOff>83820</xdr:colOff>
                    <xdr:row>62</xdr:row>
                    <xdr:rowOff>99060</xdr:rowOff>
                  </from>
                  <to>
                    <xdr:col>20</xdr:col>
                    <xdr:colOff>411480</xdr:colOff>
                    <xdr:row>64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9" name="Option Button 1055">
              <controlPr locked="0" defaultSize="0" autoFill="0" autoLine="0" autoPict="0" macro="[0]!ColorAire">
                <anchor moveWithCells="1" sizeWithCells="1">
                  <from>
                    <xdr:col>19</xdr:col>
                    <xdr:colOff>91440</xdr:colOff>
                    <xdr:row>64</xdr:row>
                    <xdr:rowOff>83820</xdr:rowOff>
                  </from>
                  <to>
                    <xdr:col>21</xdr:col>
                    <xdr:colOff>76200</xdr:colOff>
                    <xdr:row>66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6FB9B-9D12-4971-B4A9-9AB7E643CF21}">
  <sheetPr codeName="Hoja1"/>
  <dimension ref="A1:W79"/>
  <sheetViews>
    <sheetView zoomScale="84" zoomScaleNormal="84" workbookViewId="0">
      <pane ySplit="6" topLeftCell="A42" activePane="bottomLeft" state="frozen"/>
      <selection pane="bottomLeft" activeCell="D87" sqref="D87"/>
    </sheetView>
  </sheetViews>
  <sheetFormatPr baseColWidth="10" defaultRowHeight="13.2"/>
  <cols>
    <col min="1" max="1" width="4.88671875" customWidth="1"/>
  </cols>
  <sheetData>
    <row r="1" spans="1:16" ht="17.399999999999999">
      <c r="A1" s="1279" t="s">
        <v>0</v>
      </c>
      <c r="B1" s="1279"/>
      <c r="C1" s="1279"/>
      <c r="D1" s="1279"/>
      <c r="E1" s="1279"/>
      <c r="F1" s="1279"/>
      <c r="G1" s="1279"/>
      <c r="H1" s="1279"/>
      <c r="I1" s="1279"/>
      <c r="J1" s="1279"/>
      <c r="K1" s="1279"/>
      <c r="L1" s="1279"/>
      <c r="M1" s="1279"/>
      <c r="N1" s="1279"/>
      <c r="O1" s="1279"/>
      <c r="P1" t="s">
        <v>536</v>
      </c>
    </row>
    <row r="2" spans="1:16" ht="16.2" thickBo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6" ht="16.2" thickBot="1">
      <c r="A3" s="1"/>
      <c r="B3" s="101" t="s">
        <v>1</v>
      </c>
      <c r="C3" s="663">
        <f>+Principal!C8</f>
        <v>1</v>
      </c>
      <c r="D3" s="2"/>
      <c r="E3" s="101" t="s">
        <v>500</v>
      </c>
      <c r="F3" s="663">
        <f>+Principal!H8</f>
        <v>1</v>
      </c>
      <c r="G3" s="1" t="s">
        <v>373</v>
      </c>
      <c r="H3" s="663">
        <f>+Principal!J8</f>
        <v>6</v>
      </c>
      <c r="I3" s="1"/>
      <c r="J3" s="1"/>
      <c r="K3" s="1"/>
      <c r="L3" s="1"/>
      <c r="M3" s="1"/>
    </row>
    <row r="5" spans="1:16" ht="13.8" thickBot="1">
      <c r="B5" s="3"/>
      <c r="C5" s="3"/>
      <c r="D5" s="3"/>
      <c r="E5" s="3"/>
      <c r="F5" s="1276" t="s">
        <v>116</v>
      </c>
      <c r="G5" s="1277"/>
      <c r="H5" s="1277"/>
      <c r="I5" s="1277"/>
      <c r="J5" s="1277"/>
      <c r="K5" s="1277"/>
      <c r="L5" s="1277"/>
      <c r="M5" s="1277"/>
      <c r="N5" s="1277"/>
      <c r="O5" s="1278"/>
    </row>
    <row r="6" spans="1:16" ht="16.8" thickBot="1">
      <c r="B6" s="802" t="s">
        <v>2</v>
      </c>
      <c r="C6" s="803" t="s">
        <v>3</v>
      </c>
      <c r="D6" s="803" t="s">
        <v>13</v>
      </c>
      <c r="E6" s="804" t="s">
        <v>4</v>
      </c>
      <c r="F6" s="805" t="s">
        <v>14</v>
      </c>
      <c r="G6" s="806" t="s">
        <v>5</v>
      </c>
      <c r="H6" s="806" t="s">
        <v>6</v>
      </c>
      <c r="I6" s="806" t="s">
        <v>7</v>
      </c>
      <c r="J6" s="807" t="s">
        <v>8</v>
      </c>
      <c r="K6" s="808" t="s">
        <v>9</v>
      </c>
      <c r="L6" s="807" t="s">
        <v>10</v>
      </c>
      <c r="M6" s="807" t="s">
        <v>15</v>
      </c>
      <c r="N6" s="807" t="s">
        <v>75</v>
      </c>
      <c r="O6" s="809" t="s">
        <v>129</v>
      </c>
    </row>
    <row r="7" spans="1:16" ht="14.4" thickBot="1">
      <c r="B7" s="837" t="s">
        <v>544</v>
      </c>
      <c r="C7" s="815"/>
      <c r="D7" s="815"/>
      <c r="E7" s="815"/>
      <c r="F7" s="815"/>
      <c r="G7" s="815"/>
      <c r="H7" s="815"/>
      <c r="I7" s="815"/>
      <c r="J7" s="816"/>
      <c r="K7" s="816"/>
      <c r="L7" s="816"/>
      <c r="M7" s="816"/>
      <c r="N7" s="816"/>
      <c r="O7" s="817"/>
    </row>
    <row r="8" spans="1:16">
      <c r="A8" s="4">
        <v>1</v>
      </c>
      <c r="B8" s="1225" t="s">
        <v>762</v>
      </c>
      <c r="C8" s="1226">
        <v>29.951000000000001</v>
      </c>
      <c r="D8" s="1226">
        <v>5.17</v>
      </c>
      <c r="E8" s="1227">
        <v>28.402999999999999</v>
      </c>
      <c r="F8" s="1228">
        <v>12.587999999999999</v>
      </c>
      <c r="G8" s="1226">
        <v>0.34399999999999997</v>
      </c>
      <c r="H8" s="1226">
        <v>1.5100000000000001E-2</v>
      </c>
      <c r="I8" s="1226">
        <v>46.87</v>
      </c>
      <c r="J8" s="1226">
        <v>3.1E-2</v>
      </c>
      <c r="K8" s="1226">
        <v>8.9999999999999993E-3</v>
      </c>
      <c r="L8" s="1229">
        <v>5.375</v>
      </c>
      <c r="M8" s="1229">
        <v>4.4930000000000003</v>
      </c>
      <c r="N8" s="1229">
        <v>7.3999999999999996E-2</v>
      </c>
      <c r="O8" s="1227">
        <v>1.258</v>
      </c>
    </row>
    <row r="9" spans="1:16">
      <c r="A9" s="5">
        <v>2</v>
      </c>
      <c r="B9" s="729" t="s">
        <v>763</v>
      </c>
      <c r="C9" s="730">
        <v>30.001999999999999</v>
      </c>
      <c r="D9" s="730">
        <v>5.68</v>
      </c>
      <c r="E9" s="731">
        <v>28.297999999999998</v>
      </c>
      <c r="F9" s="732">
        <v>15.957000000000001</v>
      </c>
      <c r="G9" s="730">
        <v>0.42699999999999999</v>
      </c>
      <c r="H9" s="730">
        <v>1.9400000000000001E-2</v>
      </c>
      <c r="I9" s="730">
        <v>41.09</v>
      </c>
      <c r="J9" s="811">
        <v>3.5000000000000003E-2</v>
      </c>
      <c r="K9" s="811">
        <v>2.5000000000000001E-2</v>
      </c>
      <c r="L9" s="733">
        <v>6.2770000000000001</v>
      </c>
      <c r="M9" s="733">
        <v>4.766</v>
      </c>
      <c r="N9" s="814">
        <v>7.5999999999999998E-2</v>
      </c>
      <c r="O9" s="731">
        <v>1.534</v>
      </c>
    </row>
    <row r="10" spans="1:16">
      <c r="A10" s="5">
        <v>3</v>
      </c>
      <c r="B10" s="729" t="s">
        <v>764</v>
      </c>
      <c r="C10" s="730">
        <v>30.021999999999998</v>
      </c>
      <c r="D10" s="730">
        <v>4.67</v>
      </c>
      <c r="E10" s="731">
        <v>28.62</v>
      </c>
      <c r="F10" s="732">
        <v>14.154</v>
      </c>
      <c r="G10" s="730">
        <v>0.32600000000000001</v>
      </c>
      <c r="H10" s="730">
        <v>1.4999999999999999E-2</v>
      </c>
      <c r="I10" s="730">
        <v>46.43</v>
      </c>
      <c r="J10" s="811">
        <v>1.7000000000000001E-2</v>
      </c>
      <c r="K10" s="811">
        <v>8.9999999999999993E-3</v>
      </c>
      <c r="L10" s="733">
        <v>5.452</v>
      </c>
      <c r="M10" s="733">
        <v>4.2060000000000004</v>
      </c>
      <c r="N10" s="814">
        <v>7.9000000000000001E-2</v>
      </c>
      <c r="O10" s="731">
        <v>1.137</v>
      </c>
    </row>
    <row r="11" spans="1:16">
      <c r="A11" s="5">
        <v>4</v>
      </c>
      <c r="B11" s="729" t="s">
        <v>765</v>
      </c>
      <c r="C11" s="730">
        <v>29.939</v>
      </c>
      <c r="D11" s="730">
        <v>5.07</v>
      </c>
      <c r="E11" s="731">
        <v>28.420999999999999</v>
      </c>
      <c r="F11" s="732">
        <v>16.795999999999999</v>
      </c>
      <c r="G11" s="730">
        <v>0.307</v>
      </c>
      <c r="H11" s="730">
        <v>1.2699999999999999E-2</v>
      </c>
      <c r="I11" s="730">
        <v>40.46</v>
      </c>
      <c r="J11" s="811">
        <v>3.6999999999999998E-2</v>
      </c>
      <c r="K11" s="811">
        <v>8.0000000000000002E-3</v>
      </c>
      <c r="L11" s="733">
        <v>6.2960000000000003</v>
      </c>
      <c r="M11" s="733">
        <v>4.8959999999999999</v>
      </c>
      <c r="N11" s="814">
        <v>7.8E-2</v>
      </c>
      <c r="O11" s="731">
        <v>0.90600000000000003</v>
      </c>
    </row>
    <row r="12" spans="1:16">
      <c r="A12" s="5">
        <v>5</v>
      </c>
      <c r="B12" s="729" t="s">
        <v>766</v>
      </c>
      <c r="C12" s="730">
        <v>29.934000000000001</v>
      </c>
      <c r="D12" s="730">
        <v>4.75</v>
      </c>
      <c r="E12" s="731">
        <v>28.510999999999999</v>
      </c>
      <c r="F12" s="732">
        <v>16.425000000000001</v>
      </c>
      <c r="G12" s="730">
        <v>0.23</v>
      </c>
      <c r="H12" s="730">
        <v>1.2200000000000001E-2</v>
      </c>
      <c r="I12" s="730">
        <v>40.75</v>
      </c>
      <c r="J12" s="811">
        <v>3.7999999999999999E-2</v>
      </c>
      <c r="K12" s="811">
        <v>1.2E-2</v>
      </c>
      <c r="L12" s="733">
        <v>6.2149999999999999</v>
      </c>
      <c r="M12" s="733">
        <v>5.8860000000000001</v>
      </c>
      <c r="N12" s="733">
        <v>8.3000000000000004E-2</v>
      </c>
      <c r="O12" s="731">
        <v>0.59899999999999998</v>
      </c>
    </row>
    <row r="13" spans="1:16">
      <c r="A13" s="5">
        <v>6</v>
      </c>
      <c r="B13" s="729" t="s">
        <v>767</v>
      </c>
      <c r="C13" s="730">
        <v>29.952000000000002</v>
      </c>
      <c r="D13" s="730">
        <v>5.33</v>
      </c>
      <c r="E13" s="731">
        <v>28.356000000000002</v>
      </c>
      <c r="F13" s="732">
        <v>18.969000000000001</v>
      </c>
      <c r="G13" s="730">
        <v>0.20499999999999999</v>
      </c>
      <c r="H13" s="730">
        <v>1.8800000000000001E-2</v>
      </c>
      <c r="I13" s="730">
        <v>37.729999999999997</v>
      </c>
      <c r="J13" s="811">
        <v>2.9000000000000001E-2</v>
      </c>
      <c r="K13" s="811">
        <v>2.1999999999999999E-2</v>
      </c>
      <c r="L13" s="814">
        <v>5.7809999999999997</v>
      </c>
      <c r="M13" s="733">
        <v>5.7309999999999999</v>
      </c>
      <c r="N13" s="814">
        <v>8.1000000000000003E-2</v>
      </c>
      <c r="O13" s="731">
        <v>0.68400000000000005</v>
      </c>
    </row>
    <row r="14" spans="1:16">
      <c r="A14" s="5">
        <v>7</v>
      </c>
      <c r="B14" s="729" t="s">
        <v>768</v>
      </c>
      <c r="C14" s="730">
        <v>12.379999999999981</v>
      </c>
      <c r="D14" s="730">
        <v>5.46</v>
      </c>
      <c r="E14" s="731">
        <v>11.702999999999999</v>
      </c>
      <c r="F14" s="732">
        <v>16.928999999999998</v>
      </c>
      <c r="G14" s="730">
        <v>0.35199999999999998</v>
      </c>
      <c r="H14" s="730">
        <v>1.9300000000000001E-2</v>
      </c>
      <c r="I14" s="730">
        <v>40.369999999999997</v>
      </c>
      <c r="J14" s="811">
        <v>3.9E-2</v>
      </c>
      <c r="K14" s="811">
        <v>1.7000000000000001E-2</v>
      </c>
      <c r="L14" s="733">
        <v>5.9059999999999997</v>
      </c>
      <c r="M14" s="733">
        <v>5.2590000000000003</v>
      </c>
      <c r="N14" s="814">
        <v>8.1000000000000003E-2</v>
      </c>
      <c r="O14" s="731">
        <v>0.46899999999999997</v>
      </c>
    </row>
    <row r="15" spans="1:16">
      <c r="A15" s="5">
        <v>8</v>
      </c>
      <c r="B15" s="729" t="s">
        <v>769</v>
      </c>
      <c r="C15" s="730">
        <v>29.952999999999999</v>
      </c>
      <c r="D15" s="730">
        <v>5.2</v>
      </c>
      <c r="E15" s="731">
        <v>28.393999999999998</v>
      </c>
      <c r="F15" s="732">
        <v>16.707000000000001</v>
      </c>
      <c r="G15" s="730">
        <v>0.21</v>
      </c>
      <c r="H15" s="730">
        <v>1.43E-2</v>
      </c>
      <c r="I15" s="730">
        <v>40.93</v>
      </c>
      <c r="J15" s="811">
        <v>2.3E-2</v>
      </c>
      <c r="K15" s="811">
        <v>0.01</v>
      </c>
      <c r="L15" s="733">
        <v>5.6260000000000003</v>
      </c>
      <c r="M15" s="733">
        <v>5.343</v>
      </c>
      <c r="N15" s="814">
        <v>8.3000000000000004E-2</v>
      </c>
      <c r="O15" s="731">
        <v>0.90400000000000003</v>
      </c>
    </row>
    <row r="16" spans="1:16">
      <c r="A16" s="5">
        <v>9</v>
      </c>
      <c r="B16" s="729" t="s">
        <v>770</v>
      </c>
      <c r="C16" s="730">
        <v>29.963000000000001</v>
      </c>
      <c r="D16" s="730">
        <v>6.1</v>
      </c>
      <c r="E16" s="731">
        <v>28.134</v>
      </c>
      <c r="F16" s="732">
        <v>16.056999999999999</v>
      </c>
      <c r="G16" s="730">
        <v>0.30499999999999999</v>
      </c>
      <c r="H16" s="730">
        <v>1.8800000000000001E-2</v>
      </c>
      <c r="I16" s="730">
        <v>41.43</v>
      </c>
      <c r="J16" s="811">
        <v>3.5999999999999997E-2</v>
      </c>
      <c r="K16" s="811">
        <v>2.1000000000000001E-2</v>
      </c>
      <c r="L16" s="733">
        <v>5.7370000000000001</v>
      </c>
      <c r="M16" s="733">
        <v>4.8520000000000003</v>
      </c>
      <c r="N16" s="814">
        <v>8.1000000000000003E-2</v>
      </c>
      <c r="O16" s="731">
        <v>0.89100000000000001</v>
      </c>
    </row>
    <row r="17" spans="1:23">
      <c r="A17" s="5">
        <v>10</v>
      </c>
      <c r="B17" s="729" t="s">
        <v>771</v>
      </c>
      <c r="C17" s="730">
        <v>29.962</v>
      </c>
      <c r="D17" s="730">
        <v>5.32</v>
      </c>
      <c r="E17" s="731">
        <v>28.367999999999999</v>
      </c>
      <c r="F17" s="732">
        <v>15.462</v>
      </c>
      <c r="G17" s="730">
        <v>0.32400000000000001</v>
      </c>
      <c r="H17" s="730">
        <v>1.8100000000000002E-2</v>
      </c>
      <c r="I17" s="730">
        <v>42.89</v>
      </c>
      <c r="J17" s="811">
        <v>0.03</v>
      </c>
      <c r="K17" s="811">
        <v>1.6E-2</v>
      </c>
      <c r="L17" s="733">
        <v>5.8780000000000001</v>
      </c>
      <c r="M17" s="733">
        <v>5.2009999999999996</v>
      </c>
      <c r="N17" s="814">
        <v>7.6999999999999999E-2</v>
      </c>
      <c r="O17" s="731">
        <v>1.1100000000000001</v>
      </c>
    </row>
    <row r="18" spans="1:23">
      <c r="A18" s="5">
        <v>11</v>
      </c>
      <c r="B18" s="729" t="s">
        <v>772</v>
      </c>
      <c r="C18" s="730">
        <v>29.963000000000001</v>
      </c>
      <c r="D18" s="730">
        <v>5.79</v>
      </c>
      <c r="E18" s="731">
        <v>28.227</v>
      </c>
      <c r="F18" s="732">
        <v>16.385999999999999</v>
      </c>
      <c r="G18" s="730">
        <v>0.32300000000000001</v>
      </c>
      <c r="H18" s="730">
        <v>2.07E-2</v>
      </c>
      <c r="I18" s="730">
        <v>39.97</v>
      </c>
      <c r="J18" s="811">
        <v>3.9E-2</v>
      </c>
      <c r="K18" s="811">
        <v>2.1999999999999999E-2</v>
      </c>
      <c r="L18" s="733">
        <v>5.9290000000000003</v>
      </c>
      <c r="M18" s="733">
        <v>5.2469999999999999</v>
      </c>
      <c r="N18" s="814">
        <v>8.1000000000000003E-2</v>
      </c>
      <c r="O18" s="731">
        <v>1.129</v>
      </c>
    </row>
    <row r="19" spans="1:23">
      <c r="A19" s="5">
        <v>12</v>
      </c>
      <c r="B19" s="729" t="s">
        <v>773</v>
      </c>
      <c r="C19" s="730">
        <v>29.962</v>
      </c>
      <c r="D19" s="730">
        <v>5.41</v>
      </c>
      <c r="E19" s="731">
        <v>28.341000000000001</v>
      </c>
      <c r="F19" s="732">
        <v>15.412000000000001</v>
      </c>
      <c r="G19" s="730">
        <v>0.33500000000000002</v>
      </c>
      <c r="H19" s="730">
        <v>1.9599999999999999E-2</v>
      </c>
      <c r="I19" s="730">
        <v>41.66</v>
      </c>
      <c r="J19" s="811">
        <v>0.02</v>
      </c>
      <c r="K19" s="811">
        <v>1.9E-2</v>
      </c>
      <c r="L19" s="733">
        <v>5.8019999999999996</v>
      </c>
      <c r="M19" s="733">
        <v>4.8390000000000004</v>
      </c>
      <c r="N19" s="814">
        <v>0.08</v>
      </c>
      <c r="O19" s="731">
        <v>1.39</v>
      </c>
    </row>
    <row r="20" spans="1:23">
      <c r="A20" s="5">
        <v>13</v>
      </c>
      <c r="B20" s="729" t="s">
        <v>774</v>
      </c>
      <c r="C20" s="730">
        <v>30.021000000000001</v>
      </c>
      <c r="D20" s="730">
        <v>5.37</v>
      </c>
      <c r="E20" s="731">
        <v>28.41</v>
      </c>
      <c r="F20" s="732">
        <v>15.321999999999999</v>
      </c>
      <c r="G20" s="730">
        <v>0.28100000000000003</v>
      </c>
      <c r="H20" s="730">
        <v>1.8700000000000001E-2</v>
      </c>
      <c r="I20" s="730">
        <v>42.96</v>
      </c>
      <c r="J20" s="811">
        <v>2.3E-2</v>
      </c>
      <c r="K20" s="811">
        <v>1.7000000000000001E-2</v>
      </c>
      <c r="L20" s="733">
        <v>5.4420000000000002</v>
      </c>
      <c r="M20" s="733">
        <v>4.7709999999999999</v>
      </c>
      <c r="N20" s="814">
        <v>7.6999999999999999E-2</v>
      </c>
      <c r="O20" s="731">
        <v>1.8720000000000001</v>
      </c>
      <c r="V20" s="378"/>
      <c r="W20" s="278" t="s">
        <v>112</v>
      </c>
    </row>
    <row r="21" spans="1:23">
      <c r="A21" s="5">
        <v>14</v>
      </c>
      <c r="B21" s="729" t="s">
        <v>775</v>
      </c>
      <c r="C21" s="730">
        <v>29.960999999999999</v>
      </c>
      <c r="D21" s="730">
        <v>7.35</v>
      </c>
      <c r="E21" s="731">
        <v>27.76</v>
      </c>
      <c r="F21" s="732">
        <v>16.882999999999999</v>
      </c>
      <c r="G21" s="730">
        <v>0.33</v>
      </c>
      <c r="H21" s="730">
        <v>1.8599999999999998E-2</v>
      </c>
      <c r="I21" s="730">
        <v>39.06</v>
      </c>
      <c r="J21" s="730">
        <v>3.3000000000000002E-2</v>
      </c>
      <c r="K21" s="730">
        <v>2.1999999999999999E-2</v>
      </c>
      <c r="L21" s="733">
        <v>6.1829999999999998</v>
      </c>
      <c r="M21" s="733">
        <v>5.4909999999999997</v>
      </c>
      <c r="N21" s="814">
        <v>7.6999999999999999E-2</v>
      </c>
      <c r="O21" s="731">
        <v>1.8320000000000001</v>
      </c>
      <c r="V21" s="135" t="s">
        <v>7</v>
      </c>
      <c r="W21" s="728">
        <v>118.7</v>
      </c>
    </row>
    <row r="22" spans="1:23">
      <c r="A22" s="5">
        <v>15</v>
      </c>
      <c r="B22" s="729" t="s">
        <v>776</v>
      </c>
      <c r="C22" s="730">
        <v>29.971</v>
      </c>
      <c r="D22" s="730">
        <v>5.86</v>
      </c>
      <c r="E22" s="731">
        <v>28.216000000000001</v>
      </c>
      <c r="F22" s="732">
        <v>15.564</v>
      </c>
      <c r="G22" s="730">
        <v>0.46800000000000003</v>
      </c>
      <c r="H22" s="730">
        <v>2.2200000000000001E-2</v>
      </c>
      <c r="I22" s="730">
        <v>39.5</v>
      </c>
      <c r="J22" s="730">
        <v>2.8000000000000001E-2</v>
      </c>
      <c r="K22" s="730">
        <v>2.9000000000000001E-2</v>
      </c>
      <c r="L22" s="733">
        <v>6.3090000000000002</v>
      </c>
      <c r="M22" s="733">
        <v>5.1449999999999996</v>
      </c>
      <c r="N22" s="814">
        <v>8.5999999999999993E-2</v>
      </c>
      <c r="O22" s="731">
        <v>1.355</v>
      </c>
      <c r="V22" s="135" t="s">
        <v>10</v>
      </c>
      <c r="W22" s="728">
        <v>55.85</v>
      </c>
    </row>
    <row r="23" spans="1:23">
      <c r="A23" s="5">
        <v>16</v>
      </c>
      <c r="B23" s="729" t="s">
        <v>777</v>
      </c>
      <c r="C23" s="730">
        <v>29.981000000000002</v>
      </c>
      <c r="D23" s="730">
        <v>5.19</v>
      </c>
      <c r="E23" s="731">
        <v>28.425999999999998</v>
      </c>
      <c r="F23" s="732">
        <v>15.959</v>
      </c>
      <c r="G23" s="730">
        <v>0.34799999999999998</v>
      </c>
      <c r="H23" s="730">
        <v>1.6400000000000001E-2</v>
      </c>
      <c r="I23" s="730">
        <v>38.72</v>
      </c>
      <c r="J23" s="730">
        <v>3.1E-2</v>
      </c>
      <c r="K23" s="730">
        <v>1.4E-2</v>
      </c>
      <c r="L23" s="733">
        <v>6.03</v>
      </c>
      <c r="M23" s="733">
        <v>4.7629999999999999</v>
      </c>
      <c r="N23" s="814">
        <v>7.8E-2</v>
      </c>
      <c r="O23" s="731">
        <v>1.625</v>
      </c>
      <c r="V23" s="135" t="s">
        <v>108</v>
      </c>
      <c r="W23" s="728">
        <v>27</v>
      </c>
    </row>
    <row r="24" spans="1:23">
      <c r="A24" s="5">
        <v>17</v>
      </c>
      <c r="B24" s="729" t="s">
        <v>778</v>
      </c>
      <c r="C24" s="730">
        <v>30.003</v>
      </c>
      <c r="D24" s="730">
        <v>5.8</v>
      </c>
      <c r="E24" s="731">
        <v>28.262</v>
      </c>
      <c r="F24" s="732">
        <v>16.021999999999998</v>
      </c>
      <c r="G24" s="730">
        <v>0.111</v>
      </c>
      <c r="H24" s="730">
        <v>1.21E-2</v>
      </c>
      <c r="I24" s="730">
        <v>38.9</v>
      </c>
      <c r="J24" s="730">
        <v>3.7999999999999999E-2</v>
      </c>
      <c r="K24" s="730">
        <v>1.4E-2</v>
      </c>
      <c r="L24" s="733">
        <v>4.8879999999999999</v>
      </c>
      <c r="M24" s="733">
        <v>7.4569999999999999</v>
      </c>
      <c r="N24" s="814">
        <v>7.5999999999999998E-2</v>
      </c>
      <c r="O24" s="731">
        <v>0.311</v>
      </c>
      <c r="V24" s="135" t="s">
        <v>6</v>
      </c>
      <c r="W24" s="728">
        <v>207.2</v>
      </c>
    </row>
    <row r="25" spans="1:23">
      <c r="A25" s="5">
        <v>18</v>
      </c>
      <c r="B25" s="729" t="s">
        <v>779</v>
      </c>
      <c r="C25" s="730">
        <v>29.992000000000001</v>
      </c>
      <c r="D25" s="730">
        <v>6.19</v>
      </c>
      <c r="E25" s="731">
        <v>28.135000000000002</v>
      </c>
      <c r="F25" s="732">
        <v>18.670000000000002</v>
      </c>
      <c r="G25" s="730">
        <v>7.1999999999999995E-2</v>
      </c>
      <c r="H25" s="730">
        <v>0.01</v>
      </c>
      <c r="I25" s="730">
        <v>35.6</v>
      </c>
      <c r="J25" s="730">
        <v>2.9000000000000001E-2</v>
      </c>
      <c r="K25" s="730">
        <v>0.02</v>
      </c>
      <c r="L25" s="733">
        <v>5.218</v>
      </c>
      <c r="M25" s="733">
        <v>9.0169999999999995</v>
      </c>
      <c r="N25" s="814">
        <v>7.3999999999999996E-2</v>
      </c>
      <c r="O25" s="731">
        <v>5.0000000000000001E-3</v>
      </c>
      <c r="V25" s="135" t="s">
        <v>8</v>
      </c>
      <c r="W25" s="728">
        <v>121.8</v>
      </c>
    </row>
    <row r="26" spans="1:23">
      <c r="A26" s="5">
        <v>19</v>
      </c>
      <c r="B26" s="729" t="s">
        <v>780</v>
      </c>
      <c r="C26" s="730">
        <v>29.983000000000001</v>
      </c>
      <c r="D26" s="730">
        <v>5.79</v>
      </c>
      <c r="E26" s="731">
        <v>28.245999999999999</v>
      </c>
      <c r="F26" s="732">
        <v>19.515999999999998</v>
      </c>
      <c r="G26" s="730">
        <v>0.123</v>
      </c>
      <c r="H26" s="730">
        <v>1.18E-2</v>
      </c>
      <c r="I26" s="730">
        <v>33.89</v>
      </c>
      <c r="J26" s="730">
        <v>3.6999999999999998E-2</v>
      </c>
      <c r="K26" s="730">
        <v>0.03</v>
      </c>
      <c r="L26" s="733">
        <v>5.9909999999999997</v>
      </c>
      <c r="M26" s="733">
        <v>9.5370000000000008</v>
      </c>
      <c r="N26" s="814">
        <v>7.9000000000000001E-2</v>
      </c>
      <c r="O26" s="731">
        <v>9.5000000000000001E-2</v>
      </c>
      <c r="V26" s="135" t="s">
        <v>9</v>
      </c>
      <c r="W26" s="728">
        <v>74.900000000000006</v>
      </c>
    </row>
    <row r="27" spans="1:23">
      <c r="A27" s="5">
        <v>20</v>
      </c>
      <c r="B27" s="818" t="s">
        <v>781</v>
      </c>
      <c r="C27" s="819">
        <v>30.010999999999999</v>
      </c>
      <c r="D27" s="819">
        <v>5.08</v>
      </c>
      <c r="E27" s="820">
        <v>28.486999999999998</v>
      </c>
      <c r="F27" s="821">
        <v>14.515000000000001</v>
      </c>
      <c r="G27" s="819">
        <v>0.17699999999999999</v>
      </c>
      <c r="H27" s="819">
        <v>1.09E-2</v>
      </c>
      <c r="I27" s="819">
        <v>41.65</v>
      </c>
      <c r="J27" s="819">
        <v>1.2999999999999999E-2</v>
      </c>
      <c r="K27" s="819">
        <v>1.9E-2</v>
      </c>
      <c r="L27" s="822">
        <v>5.3079999999999998</v>
      </c>
      <c r="M27" s="733">
        <v>7.069</v>
      </c>
      <c r="N27" s="814">
        <v>7.1999999999999995E-2</v>
      </c>
      <c r="O27" s="731">
        <v>0.309</v>
      </c>
      <c r="V27" s="135"/>
      <c r="W27" s="728"/>
    </row>
    <row r="28" spans="1:23">
      <c r="A28" s="5">
        <v>21</v>
      </c>
      <c r="B28" s="818" t="s">
        <v>782</v>
      </c>
      <c r="C28" s="819">
        <v>29.952000000000002</v>
      </c>
      <c r="D28" s="819">
        <v>5.13</v>
      </c>
      <c r="E28" s="820">
        <v>28.414999999999999</v>
      </c>
      <c r="F28" s="821">
        <v>14.608000000000001</v>
      </c>
      <c r="G28" s="819">
        <v>0.114</v>
      </c>
      <c r="H28" s="819">
        <v>9.9000000000000008E-3</v>
      </c>
      <c r="I28" s="819">
        <v>44.32</v>
      </c>
      <c r="J28" s="819">
        <v>0.03</v>
      </c>
      <c r="K28" s="819">
        <v>1.7000000000000001E-2</v>
      </c>
      <c r="L28" s="822">
        <v>4.9589999999999996</v>
      </c>
      <c r="M28" s="733">
        <v>7.0190000000000001</v>
      </c>
      <c r="N28" s="814">
        <v>7.0000000000000007E-2</v>
      </c>
      <c r="O28" s="731">
        <v>0.17899999999999999</v>
      </c>
      <c r="V28" s="135"/>
      <c r="W28" s="728"/>
    </row>
    <row r="29" spans="1:23">
      <c r="A29" s="5">
        <v>22</v>
      </c>
      <c r="B29" s="818" t="s">
        <v>783</v>
      </c>
      <c r="C29" s="819">
        <v>29.972000000000001</v>
      </c>
      <c r="D29" s="819">
        <v>5.5</v>
      </c>
      <c r="E29" s="820">
        <v>28.324000000000002</v>
      </c>
      <c r="F29" s="821">
        <v>16.84</v>
      </c>
      <c r="G29" s="819">
        <v>0.17499999999999999</v>
      </c>
      <c r="H29" s="819">
        <v>1.2200000000000001E-2</v>
      </c>
      <c r="I29" s="819">
        <v>43.67</v>
      </c>
      <c r="J29" s="819">
        <v>3.7999999999999999E-2</v>
      </c>
      <c r="K29" s="819">
        <v>1.7000000000000001E-2</v>
      </c>
      <c r="L29" s="822">
        <v>5.2549999999999999</v>
      </c>
      <c r="M29" s="733">
        <v>7.3739999999999997</v>
      </c>
      <c r="N29" s="814">
        <v>7.6999999999999999E-2</v>
      </c>
      <c r="O29" s="731">
        <v>0.64</v>
      </c>
      <c r="V29" s="135"/>
      <c r="W29" s="728"/>
    </row>
    <row r="30" spans="1:23">
      <c r="A30" s="5">
        <v>23</v>
      </c>
      <c r="B30" s="818" t="s">
        <v>784</v>
      </c>
      <c r="C30" s="819">
        <v>29.972999999999999</v>
      </c>
      <c r="D30" s="819">
        <v>6.03</v>
      </c>
      <c r="E30" s="820">
        <v>28.164999999999999</v>
      </c>
      <c r="F30" s="821">
        <v>17.228000000000002</v>
      </c>
      <c r="G30" s="819">
        <v>0.158</v>
      </c>
      <c r="H30" s="819">
        <v>1.3599999999999999E-2</v>
      </c>
      <c r="I30" s="819">
        <v>38.549999999999997</v>
      </c>
      <c r="J30" s="819">
        <v>2.9000000000000001E-2</v>
      </c>
      <c r="K30" s="819">
        <v>2.5999999999999999E-2</v>
      </c>
      <c r="L30" s="822">
        <v>5.5</v>
      </c>
      <c r="M30" s="733">
        <v>7.6189999999999998</v>
      </c>
      <c r="N30" s="814">
        <v>7.2999999999999995E-2</v>
      </c>
      <c r="O30" s="731">
        <v>0.38300000000000001</v>
      </c>
      <c r="V30" s="135"/>
      <c r="W30" s="728"/>
    </row>
    <row r="31" spans="1:23">
      <c r="A31" s="5">
        <v>24</v>
      </c>
      <c r="B31" s="818" t="s">
        <v>785</v>
      </c>
      <c r="C31" s="819">
        <v>18.196999999999964</v>
      </c>
      <c r="D31" s="819">
        <v>5.29</v>
      </c>
      <c r="E31" s="820">
        <v>17.234000000000002</v>
      </c>
      <c r="F31" s="821">
        <v>15.101000000000001</v>
      </c>
      <c r="G31" s="819">
        <v>0.44500000000000001</v>
      </c>
      <c r="H31" s="819">
        <v>2.1700000000000001E-2</v>
      </c>
      <c r="I31" s="819">
        <v>41.09</v>
      </c>
      <c r="J31" s="819">
        <v>3.3000000000000002E-2</v>
      </c>
      <c r="K31" s="819">
        <v>2.1999999999999999E-2</v>
      </c>
      <c r="L31" s="822">
        <v>6.16</v>
      </c>
      <c r="M31" s="733">
        <v>4.694</v>
      </c>
      <c r="N31" s="814">
        <v>8.1000000000000003E-2</v>
      </c>
      <c r="O31" s="731">
        <v>1.524</v>
      </c>
      <c r="V31" s="135"/>
      <c r="W31" s="728"/>
    </row>
    <row r="32" spans="1:23">
      <c r="A32" s="5">
        <v>25</v>
      </c>
      <c r="B32" s="818"/>
      <c r="C32" s="819"/>
      <c r="D32" s="819"/>
      <c r="E32" s="820"/>
      <c r="F32" s="821"/>
      <c r="G32" s="819"/>
      <c r="H32" s="819"/>
      <c r="I32" s="819"/>
      <c r="J32" s="819"/>
      <c r="K32" s="819"/>
      <c r="L32" s="822"/>
      <c r="M32" s="822"/>
      <c r="N32" s="814"/>
      <c r="O32" s="731"/>
      <c r="V32" s="135"/>
      <c r="W32" s="728"/>
    </row>
    <row r="33" spans="1:23">
      <c r="A33" s="5">
        <v>26</v>
      </c>
      <c r="B33" s="818"/>
      <c r="C33" s="819"/>
      <c r="D33" s="819"/>
      <c r="E33" s="820"/>
      <c r="F33" s="821"/>
      <c r="G33" s="819"/>
      <c r="H33" s="819"/>
      <c r="I33" s="819"/>
      <c r="J33" s="819"/>
      <c r="K33" s="819"/>
      <c r="L33" s="822"/>
      <c r="M33" s="822"/>
      <c r="N33" s="814"/>
      <c r="O33" s="731"/>
      <c r="V33" s="135"/>
      <c r="W33" s="728"/>
    </row>
    <row r="34" spans="1:23">
      <c r="A34" s="5">
        <v>27</v>
      </c>
      <c r="B34" s="818"/>
      <c r="C34" s="819"/>
      <c r="D34" s="819"/>
      <c r="E34" s="820"/>
      <c r="F34" s="821"/>
      <c r="G34" s="819"/>
      <c r="H34" s="819"/>
      <c r="I34" s="819"/>
      <c r="J34" s="819"/>
      <c r="K34" s="819"/>
      <c r="L34" s="822"/>
      <c r="M34" s="822"/>
      <c r="N34" s="814"/>
      <c r="O34" s="731"/>
      <c r="V34" s="135"/>
      <c r="W34" s="728"/>
    </row>
    <row r="35" spans="1:23">
      <c r="A35" s="5">
        <v>28</v>
      </c>
      <c r="B35" s="818"/>
      <c r="C35" s="819"/>
      <c r="D35" s="819"/>
      <c r="E35" s="820"/>
      <c r="F35" s="821"/>
      <c r="G35" s="819"/>
      <c r="H35" s="819"/>
      <c r="I35" s="819"/>
      <c r="J35" s="819"/>
      <c r="K35" s="819"/>
      <c r="L35" s="822"/>
      <c r="M35" s="822"/>
      <c r="N35" s="822"/>
      <c r="O35" s="820"/>
      <c r="V35" s="135"/>
      <c r="W35" s="728"/>
    </row>
    <row r="36" spans="1:23">
      <c r="A36" s="5">
        <v>29</v>
      </c>
      <c r="B36" s="818"/>
      <c r="C36" s="819"/>
      <c r="D36" s="819"/>
      <c r="E36" s="820"/>
      <c r="F36" s="821"/>
      <c r="G36" s="819"/>
      <c r="H36" s="819"/>
      <c r="I36" s="819"/>
      <c r="J36" s="819"/>
      <c r="K36" s="819"/>
      <c r="L36" s="822"/>
      <c r="M36" s="822"/>
      <c r="N36" s="822"/>
      <c r="O36" s="820"/>
      <c r="V36" s="135"/>
      <c r="W36" s="728"/>
    </row>
    <row r="37" spans="1:23" ht="13.8" thickBot="1">
      <c r="A37" s="5">
        <v>30</v>
      </c>
      <c r="B37" s="734"/>
      <c r="C37" s="735"/>
      <c r="D37" s="735"/>
      <c r="E37" s="736"/>
      <c r="F37" s="737"/>
      <c r="G37" s="735"/>
      <c r="H37" s="735"/>
      <c r="I37" s="735"/>
      <c r="J37" s="735"/>
      <c r="K37" s="735"/>
      <c r="L37" s="738"/>
      <c r="M37" s="738"/>
      <c r="N37" s="738"/>
      <c r="O37" s="736"/>
      <c r="V37" s="135"/>
      <c r="W37" s="728"/>
    </row>
    <row r="38" spans="1:23" ht="15.75" customHeight="1" thickBot="1">
      <c r="A38" s="832"/>
      <c r="B38" s="838" t="s">
        <v>545</v>
      </c>
      <c r="C38" s="833"/>
      <c r="D38" s="833"/>
      <c r="E38" s="833"/>
      <c r="F38" s="833"/>
      <c r="G38" s="833"/>
      <c r="H38" s="833"/>
      <c r="I38" s="833"/>
      <c r="J38" s="833"/>
      <c r="K38" s="833"/>
      <c r="L38" s="833"/>
      <c r="M38" s="833"/>
      <c r="N38" s="833"/>
      <c r="O38" s="834"/>
      <c r="V38" s="135"/>
      <c r="W38" s="728"/>
    </row>
    <row r="39" spans="1:23">
      <c r="A39" s="5">
        <v>1</v>
      </c>
      <c r="B39" s="1225" t="s">
        <v>786</v>
      </c>
      <c r="C39" s="1226">
        <v>24.338000000000001</v>
      </c>
      <c r="D39" s="1226">
        <v>9.01</v>
      </c>
      <c r="E39" s="1227">
        <v>22.145</v>
      </c>
      <c r="F39" s="1228">
        <v>10.491</v>
      </c>
      <c r="G39" s="1226">
        <v>0.26400000000000001</v>
      </c>
      <c r="H39" s="1226">
        <v>0</v>
      </c>
      <c r="I39" s="1226">
        <v>22.23</v>
      </c>
      <c r="J39" s="1226">
        <v>3.7999999999999999E-2</v>
      </c>
      <c r="K39" s="1226">
        <v>5.0000000000000001E-3</v>
      </c>
      <c r="L39" s="1229">
        <v>13.584</v>
      </c>
      <c r="M39" s="1229">
        <v>10.406000000000001</v>
      </c>
      <c r="N39" s="1229">
        <v>6.5000000000000002E-2</v>
      </c>
      <c r="O39" s="1227">
        <v>4.71</v>
      </c>
      <c r="V39" s="135" t="s">
        <v>109</v>
      </c>
      <c r="W39" s="728">
        <v>24.3</v>
      </c>
    </row>
    <row r="40" spans="1:23">
      <c r="A40" s="5">
        <v>2</v>
      </c>
      <c r="B40" s="729" t="s">
        <v>787</v>
      </c>
      <c r="C40" s="730">
        <v>29.963999999999999</v>
      </c>
      <c r="D40" s="730">
        <v>9.2200000000000006</v>
      </c>
      <c r="E40" s="731">
        <v>27.2</v>
      </c>
      <c r="F40" s="732">
        <v>11.234999999999999</v>
      </c>
      <c r="G40" s="730">
        <v>0.24</v>
      </c>
      <c r="H40" s="730">
        <v>0</v>
      </c>
      <c r="I40" s="730">
        <v>24.35</v>
      </c>
      <c r="J40" s="811">
        <v>3.7999999999999999E-2</v>
      </c>
      <c r="K40" s="811">
        <v>5.0000000000000001E-3</v>
      </c>
      <c r="L40" s="733">
        <v>12.654</v>
      </c>
      <c r="M40" s="814">
        <v>10.194000000000001</v>
      </c>
      <c r="N40" s="814">
        <v>6.9000000000000006E-2</v>
      </c>
      <c r="O40" s="812">
        <v>5.0039999999999996</v>
      </c>
      <c r="V40" s="135" t="s">
        <v>110</v>
      </c>
      <c r="W40" s="728">
        <v>23</v>
      </c>
    </row>
    <row r="41" spans="1:23">
      <c r="A41" s="5">
        <v>3</v>
      </c>
      <c r="B41" s="729" t="s">
        <v>788</v>
      </c>
      <c r="C41" s="730">
        <v>29.963000000000001</v>
      </c>
      <c r="D41" s="730">
        <v>8.3800000000000008</v>
      </c>
      <c r="E41" s="731">
        <v>27.451000000000001</v>
      </c>
      <c r="F41" s="732">
        <v>10.715</v>
      </c>
      <c r="G41" s="732">
        <v>0.247</v>
      </c>
      <c r="H41" s="732">
        <v>0</v>
      </c>
      <c r="I41" s="732">
        <v>25.3</v>
      </c>
      <c r="J41" s="732">
        <v>2.9000000000000001E-2</v>
      </c>
      <c r="K41" s="732">
        <v>5.0000000000000001E-3</v>
      </c>
      <c r="L41" s="732">
        <v>11.398999999999999</v>
      </c>
      <c r="M41" s="732">
        <v>9.7840000000000007</v>
      </c>
      <c r="N41" s="732">
        <v>6.2E-2</v>
      </c>
      <c r="O41" s="1230">
        <v>4.931</v>
      </c>
      <c r="V41" s="135" t="s">
        <v>111</v>
      </c>
      <c r="W41" s="728">
        <v>16</v>
      </c>
    </row>
    <row r="42" spans="1:23">
      <c r="A42" s="5">
        <v>4</v>
      </c>
      <c r="B42" s="729" t="s">
        <v>789</v>
      </c>
      <c r="C42" s="730">
        <v>30.001999999999999</v>
      </c>
      <c r="D42" s="730">
        <v>8.5</v>
      </c>
      <c r="E42" s="731">
        <v>27.452000000000002</v>
      </c>
      <c r="F42" s="732">
        <v>12.638999999999999</v>
      </c>
      <c r="G42" s="730">
        <v>0.23499999999999999</v>
      </c>
      <c r="H42" s="730">
        <v>0</v>
      </c>
      <c r="I42" s="730">
        <v>26.33</v>
      </c>
      <c r="J42" s="732">
        <v>4.1000000000000002E-2</v>
      </c>
      <c r="K42" s="732">
        <v>2.4E-2</v>
      </c>
      <c r="L42" s="732">
        <v>10.206</v>
      </c>
      <c r="M42" s="732">
        <v>10.683</v>
      </c>
      <c r="N42" s="732">
        <v>0.06</v>
      </c>
      <c r="O42" s="1230">
        <v>4.8079999999999998</v>
      </c>
      <c r="V42" s="136" t="s">
        <v>5</v>
      </c>
      <c r="W42" s="272">
        <v>32</v>
      </c>
    </row>
    <row r="43" spans="1:23">
      <c r="A43" s="5">
        <v>5</v>
      </c>
      <c r="B43" s="729" t="s">
        <v>790</v>
      </c>
      <c r="C43" s="730">
        <v>11.733000000000043</v>
      </c>
      <c r="D43" s="730">
        <v>8.7899999999999991</v>
      </c>
      <c r="E43" s="731">
        <v>10.702</v>
      </c>
      <c r="F43" s="732">
        <v>9.5030000000000001</v>
      </c>
      <c r="G43" s="730">
        <v>0.183</v>
      </c>
      <c r="H43" s="730">
        <v>0</v>
      </c>
      <c r="I43" s="730">
        <v>27.99</v>
      </c>
      <c r="J43" s="811">
        <v>3.7999999999999999E-2</v>
      </c>
      <c r="K43" s="811">
        <v>5.0000000000000001E-3</v>
      </c>
      <c r="L43" s="733">
        <v>10.151999999999999</v>
      </c>
      <c r="M43" s="814">
        <v>8.7249999999999996</v>
      </c>
      <c r="N43" s="814">
        <v>5.5E-2</v>
      </c>
      <c r="O43" s="812">
        <v>4.92</v>
      </c>
    </row>
    <row r="44" spans="1:23">
      <c r="A44" s="5">
        <v>6</v>
      </c>
      <c r="B44" s="729"/>
      <c r="C44" s="730"/>
      <c r="D44" s="730"/>
      <c r="E44" s="731"/>
      <c r="F44" s="732"/>
      <c r="G44" s="730"/>
      <c r="H44" s="730"/>
      <c r="I44" s="730"/>
      <c r="J44" s="730"/>
      <c r="K44" s="730"/>
      <c r="L44" s="733"/>
      <c r="M44" s="733"/>
      <c r="N44" s="733"/>
      <c r="O44" s="731"/>
    </row>
    <row r="45" spans="1:23">
      <c r="A45" s="5">
        <v>7</v>
      </c>
      <c r="B45" s="729"/>
      <c r="C45" s="730"/>
      <c r="D45" s="730"/>
      <c r="E45" s="731"/>
      <c r="F45" s="732"/>
      <c r="G45" s="730"/>
      <c r="H45" s="730"/>
      <c r="I45" s="730"/>
      <c r="J45" s="730"/>
      <c r="K45" s="730"/>
      <c r="L45" s="733"/>
      <c r="M45" s="733"/>
      <c r="N45" s="733"/>
      <c r="O45" s="731"/>
    </row>
    <row r="46" spans="1:23">
      <c r="A46" s="5">
        <v>8</v>
      </c>
      <c r="B46" s="729"/>
      <c r="C46" s="730"/>
      <c r="D46" s="730"/>
      <c r="E46" s="731"/>
      <c r="F46" s="732"/>
      <c r="G46" s="730"/>
      <c r="H46" s="730"/>
      <c r="I46" s="730"/>
      <c r="J46" s="730"/>
      <c r="K46" s="730"/>
      <c r="L46" s="733"/>
      <c r="M46" s="733"/>
      <c r="N46" s="733"/>
      <c r="O46" s="731"/>
    </row>
    <row r="47" spans="1:23">
      <c r="A47" s="5">
        <v>9</v>
      </c>
      <c r="B47" s="729"/>
      <c r="C47" s="730"/>
      <c r="D47" s="730"/>
      <c r="E47" s="731"/>
      <c r="F47" s="732"/>
      <c r="G47" s="730"/>
      <c r="H47" s="730"/>
      <c r="I47" s="730"/>
      <c r="J47" s="730"/>
      <c r="K47" s="730"/>
      <c r="L47" s="733"/>
      <c r="M47" s="733"/>
      <c r="N47" s="733"/>
      <c r="O47" s="731"/>
    </row>
    <row r="48" spans="1:23">
      <c r="A48" s="831">
        <v>10</v>
      </c>
      <c r="B48" s="818"/>
      <c r="C48" s="819"/>
      <c r="D48" s="819"/>
      <c r="E48" s="820"/>
      <c r="F48" s="821"/>
      <c r="G48" s="819"/>
      <c r="H48" s="819"/>
      <c r="I48" s="819"/>
      <c r="J48" s="819"/>
      <c r="K48" s="819"/>
      <c r="L48" s="822"/>
      <c r="M48" s="822"/>
      <c r="N48" s="822"/>
      <c r="O48" s="731"/>
    </row>
    <row r="49" spans="1:15">
      <c r="A49" s="831">
        <v>11</v>
      </c>
      <c r="B49" s="818"/>
      <c r="C49" s="819"/>
      <c r="D49" s="819"/>
      <c r="E49" s="820"/>
      <c r="F49" s="821"/>
      <c r="G49" s="819"/>
      <c r="H49" s="819"/>
      <c r="I49" s="819"/>
      <c r="J49" s="819"/>
      <c r="K49" s="819"/>
      <c r="L49" s="822"/>
      <c r="M49" s="822"/>
      <c r="N49" s="822"/>
      <c r="O49" s="731"/>
    </row>
    <row r="50" spans="1:15">
      <c r="A50" s="831">
        <v>12</v>
      </c>
      <c r="B50" s="818"/>
      <c r="C50" s="819"/>
      <c r="D50" s="819"/>
      <c r="E50" s="820"/>
      <c r="F50" s="821"/>
      <c r="G50" s="819"/>
      <c r="H50" s="819"/>
      <c r="I50" s="819"/>
      <c r="J50" s="819"/>
      <c r="K50" s="819"/>
      <c r="L50" s="822"/>
      <c r="M50" s="822"/>
      <c r="N50" s="822"/>
      <c r="O50" s="731"/>
    </row>
    <row r="51" spans="1:15">
      <c r="A51" s="831">
        <v>13</v>
      </c>
      <c r="B51" s="818"/>
      <c r="C51" s="819"/>
      <c r="D51" s="819"/>
      <c r="E51" s="820"/>
      <c r="F51" s="821"/>
      <c r="G51" s="819"/>
      <c r="H51" s="819"/>
      <c r="I51" s="819"/>
      <c r="J51" s="819"/>
      <c r="K51" s="819"/>
      <c r="L51" s="822"/>
      <c r="M51" s="822"/>
      <c r="N51" s="822"/>
      <c r="O51" s="820"/>
    </row>
    <row r="52" spans="1:15">
      <c r="A52" s="831">
        <v>14</v>
      </c>
      <c r="B52" s="818"/>
      <c r="C52" s="819"/>
      <c r="D52" s="819"/>
      <c r="E52" s="820"/>
      <c r="F52" s="821"/>
      <c r="G52" s="819"/>
      <c r="H52" s="819"/>
      <c r="I52" s="819"/>
      <c r="J52" s="819"/>
      <c r="K52" s="819"/>
      <c r="L52" s="822"/>
      <c r="M52" s="822"/>
      <c r="N52" s="822"/>
      <c r="O52" s="820"/>
    </row>
    <row r="53" spans="1:15" ht="13.8" thickBot="1">
      <c r="A53" s="102">
        <v>15</v>
      </c>
      <c r="B53" s="734"/>
      <c r="C53" s="735"/>
      <c r="D53" s="735"/>
      <c r="E53" s="736"/>
      <c r="F53" s="737"/>
      <c r="G53" s="735"/>
      <c r="H53" s="735"/>
      <c r="I53" s="735"/>
      <c r="J53" s="735"/>
      <c r="K53" s="735"/>
      <c r="L53" s="738"/>
      <c r="M53" s="738"/>
      <c r="N53" s="738"/>
      <c r="O53" s="736"/>
    </row>
    <row r="54" spans="1:15" ht="14.4" thickBot="1">
      <c r="A54" s="832"/>
      <c r="B54" s="838" t="s">
        <v>623</v>
      </c>
      <c r="C54" s="833"/>
      <c r="D54" s="833"/>
      <c r="E54" s="833"/>
      <c r="F54" s="833"/>
      <c r="G54" s="833"/>
      <c r="H54" s="833"/>
      <c r="I54" s="833"/>
      <c r="J54" s="833"/>
      <c r="K54" s="833"/>
      <c r="L54" s="833"/>
      <c r="M54" s="833"/>
      <c r="N54" s="833"/>
      <c r="O54" s="834"/>
    </row>
    <row r="55" spans="1:15">
      <c r="A55" s="5">
        <v>1</v>
      </c>
      <c r="B55" s="810" t="s">
        <v>791</v>
      </c>
      <c r="C55" s="811">
        <v>29.762</v>
      </c>
      <c r="D55" s="811">
        <v>10.65</v>
      </c>
      <c r="E55" s="812">
        <v>26.591999999999999</v>
      </c>
      <c r="F55" s="813">
        <v>22.446000000000002</v>
      </c>
      <c r="G55" s="811">
        <v>0.48799999999999999</v>
      </c>
      <c r="H55" s="730">
        <v>5.9400000000000001E-2</v>
      </c>
      <c r="I55" s="811">
        <v>28.19</v>
      </c>
      <c r="J55" s="811">
        <v>4.3999999999999997E-2</v>
      </c>
      <c r="K55" s="811">
        <v>5.0000000000000001E-3</v>
      </c>
      <c r="L55" s="814">
        <v>5.8</v>
      </c>
      <c r="M55" s="814">
        <v>8.9149999999999991</v>
      </c>
      <c r="N55" s="814">
        <v>0.23400000000000001</v>
      </c>
      <c r="O55" s="812">
        <v>1.131</v>
      </c>
    </row>
    <row r="56" spans="1:15">
      <c r="A56" s="5">
        <v>2</v>
      </c>
      <c r="B56" s="729" t="s">
        <v>792</v>
      </c>
      <c r="C56" s="730">
        <v>29.792000000000002</v>
      </c>
      <c r="D56" s="730">
        <v>9.33</v>
      </c>
      <c r="E56" s="731">
        <v>27.012</v>
      </c>
      <c r="F56" s="732">
        <v>19.77</v>
      </c>
      <c r="G56" s="730">
        <v>0.377</v>
      </c>
      <c r="H56" s="730">
        <v>2.1899999999999999E-2</v>
      </c>
      <c r="I56" s="730">
        <v>36.17</v>
      </c>
      <c r="J56" s="811">
        <v>4.3999999999999997E-2</v>
      </c>
      <c r="K56" s="811">
        <v>5.0000000000000001E-3</v>
      </c>
      <c r="L56" s="733">
        <v>5.4329999999999998</v>
      </c>
      <c r="M56" s="814">
        <v>7.3230000000000004</v>
      </c>
      <c r="N56" s="814">
        <v>0.223</v>
      </c>
      <c r="O56" s="812">
        <v>1.5549999999999999</v>
      </c>
    </row>
    <row r="57" spans="1:15">
      <c r="A57" s="5">
        <v>3</v>
      </c>
      <c r="B57" s="729" t="s">
        <v>793</v>
      </c>
      <c r="C57" s="730">
        <v>29.552</v>
      </c>
      <c r="D57" s="730">
        <v>8.5</v>
      </c>
      <c r="E57" s="731">
        <v>27.04</v>
      </c>
      <c r="F57" s="732">
        <v>20.068000000000001</v>
      </c>
      <c r="G57" s="730">
        <v>0.57099999999999995</v>
      </c>
      <c r="H57" s="730">
        <v>0.13370000000000001</v>
      </c>
      <c r="I57" s="730">
        <v>31.81</v>
      </c>
      <c r="J57" s="811">
        <v>5.5E-2</v>
      </c>
      <c r="K57" s="811">
        <v>5.0000000000000001E-3</v>
      </c>
      <c r="L57" s="733">
        <v>6.1360000000000001</v>
      </c>
      <c r="M57" s="814">
        <v>8.2200000000000006</v>
      </c>
      <c r="N57" s="814">
        <v>0.26300000000000001</v>
      </c>
      <c r="O57" s="812">
        <v>1.59</v>
      </c>
    </row>
    <row r="58" spans="1:15">
      <c r="A58" s="5">
        <v>4</v>
      </c>
      <c r="B58" s="729" t="s">
        <v>794</v>
      </c>
      <c r="C58" s="730">
        <v>14.657000000000025</v>
      </c>
      <c r="D58" s="730">
        <v>9.0500000000000007</v>
      </c>
      <c r="E58" s="731">
        <v>13.330000000000002</v>
      </c>
      <c r="F58" s="732">
        <v>21.948</v>
      </c>
      <c r="G58" s="730">
        <v>0.28399999999999997</v>
      </c>
      <c r="H58" s="730">
        <v>1.6299999999999999E-2</v>
      </c>
      <c r="I58" s="730">
        <v>31.48</v>
      </c>
      <c r="J58" s="811">
        <v>4.8000000000000001E-2</v>
      </c>
      <c r="K58" s="811">
        <v>5.0000000000000001E-3</v>
      </c>
      <c r="L58" s="733">
        <v>6.1909999999999998</v>
      </c>
      <c r="M58" s="814">
        <v>8.06</v>
      </c>
      <c r="N58" s="814">
        <v>0.20200000000000001</v>
      </c>
      <c r="O58" s="812">
        <v>1.329</v>
      </c>
    </row>
    <row r="59" spans="1:15">
      <c r="A59" s="5">
        <v>5</v>
      </c>
      <c r="B59" s="729" t="s">
        <v>795</v>
      </c>
      <c r="C59" s="730">
        <v>29.693999999999999</v>
      </c>
      <c r="D59" s="730">
        <v>9.31</v>
      </c>
      <c r="E59" s="731">
        <v>26.928000000000001</v>
      </c>
      <c r="F59" s="732">
        <v>21.902999999999999</v>
      </c>
      <c r="G59" s="730">
        <v>0.32</v>
      </c>
      <c r="H59" s="730">
        <v>1.7000000000000001E-2</v>
      </c>
      <c r="I59" s="730">
        <v>29.59</v>
      </c>
      <c r="J59" s="811">
        <v>4.2999999999999997E-2</v>
      </c>
      <c r="K59" s="811">
        <v>5.0000000000000001E-3</v>
      </c>
      <c r="L59" s="733">
        <v>6.3010000000000002</v>
      </c>
      <c r="M59" s="814">
        <v>8.5359999999999996</v>
      </c>
      <c r="N59" s="814">
        <v>0.23699999999999999</v>
      </c>
      <c r="O59" s="812">
        <v>1.4750000000000001</v>
      </c>
    </row>
    <row r="60" spans="1:15">
      <c r="A60" s="5">
        <v>6</v>
      </c>
      <c r="B60" s="729" t="s">
        <v>796</v>
      </c>
      <c r="C60" s="730">
        <v>29.260999999999999</v>
      </c>
      <c r="D60" s="730">
        <v>10.210000000000001</v>
      </c>
      <c r="E60" s="731">
        <v>26.274000000000001</v>
      </c>
      <c r="F60" s="732">
        <v>22.012</v>
      </c>
      <c r="G60" s="730">
        <v>0.26800000000000002</v>
      </c>
      <c r="H60" s="730">
        <v>7.1999999999999998E-3</v>
      </c>
      <c r="I60" s="730">
        <v>31.22</v>
      </c>
      <c r="J60" s="811">
        <v>3.7999999999999999E-2</v>
      </c>
      <c r="K60" s="811">
        <v>5.0000000000000001E-3</v>
      </c>
      <c r="L60" s="733">
        <v>6.3840000000000003</v>
      </c>
      <c r="M60" s="814">
        <v>8.0960000000000001</v>
      </c>
      <c r="N60" s="814">
        <v>0.184</v>
      </c>
      <c r="O60" s="812">
        <v>1.4</v>
      </c>
    </row>
    <row r="61" spans="1:15">
      <c r="A61" s="5">
        <v>7</v>
      </c>
      <c r="B61" s="729" t="s">
        <v>797</v>
      </c>
      <c r="C61" s="730">
        <v>29.811</v>
      </c>
      <c r="D61" s="730">
        <v>10.26</v>
      </c>
      <c r="E61" s="731">
        <v>26.753</v>
      </c>
      <c r="F61" s="732">
        <v>23.367999999999999</v>
      </c>
      <c r="G61" s="730">
        <v>0.35799999999999998</v>
      </c>
      <c r="H61" s="730">
        <v>2.8299999999999999E-2</v>
      </c>
      <c r="I61" s="730">
        <v>30.43</v>
      </c>
      <c r="J61" s="811">
        <v>5.2999999999999999E-2</v>
      </c>
      <c r="K61" s="811">
        <v>5.0000000000000001E-3</v>
      </c>
      <c r="L61" s="733">
        <v>6.5250000000000004</v>
      </c>
      <c r="M61" s="814">
        <v>8.34</v>
      </c>
      <c r="N61" s="814">
        <v>0.24399999999999999</v>
      </c>
      <c r="O61" s="812">
        <v>1.466</v>
      </c>
    </row>
    <row r="62" spans="1:15">
      <c r="A62" s="5">
        <v>8</v>
      </c>
      <c r="B62" s="729" t="s">
        <v>798</v>
      </c>
      <c r="C62" s="730">
        <v>29.872</v>
      </c>
      <c r="D62" s="730">
        <v>9.2899999999999991</v>
      </c>
      <c r="E62" s="731">
        <v>27.097000000000001</v>
      </c>
      <c r="F62" s="732">
        <v>22.725000000000001</v>
      </c>
      <c r="G62" s="730">
        <v>0.39</v>
      </c>
      <c r="H62" s="730">
        <v>4.2000000000000003E-2</v>
      </c>
      <c r="I62" s="730">
        <v>31.06</v>
      </c>
      <c r="J62" s="730">
        <v>5.3999999999999999E-2</v>
      </c>
      <c r="K62" s="730">
        <v>5.0000000000000001E-3</v>
      </c>
      <c r="L62" s="733">
        <v>6.3159999999999998</v>
      </c>
      <c r="M62" s="733">
        <v>8.3789999999999996</v>
      </c>
      <c r="N62" s="733">
        <v>0.252</v>
      </c>
      <c r="O62" s="731">
        <v>1.5269999999999999</v>
      </c>
    </row>
    <row r="63" spans="1:15">
      <c r="A63" s="5">
        <v>9</v>
      </c>
      <c r="B63" s="729" t="s">
        <v>799</v>
      </c>
      <c r="C63" s="730">
        <v>29.731999999999999</v>
      </c>
      <c r="D63" s="730">
        <v>9.56</v>
      </c>
      <c r="E63" s="731">
        <v>26.89</v>
      </c>
      <c r="F63" s="732">
        <v>20.759</v>
      </c>
      <c r="G63" s="730">
        <v>1.0469999999999999</v>
      </c>
      <c r="H63" s="730">
        <v>0.2218</v>
      </c>
      <c r="I63" s="730">
        <v>30.13</v>
      </c>
      <c r="J63" s="730">
        <v>4.3999999999999997E-2</v>
      </c>
      <c r="K63" s="730">
        <v>5.0000000000000001E-3</v>
      </c>
      <c r="L63" s="733">
        <v>7.3970000000000002</v>
      </c>
      <c r="M63" s="733">
        <v>8.1850000000000005</v>
      </c>
      <c r="N63" s="733">
        <v>0.54100000000000004</v>
      </c>
      <c r="O63" s="731">
        <v>1.216</v>
      </c>
    </row>
    <row r="64" spans="1:15">
      <c r="A64" s="831">
        <v>10</v>
      </c>
      <c r="B64" s="818" t="s">
        <v>800</v>
      </c>
      <c r="C64" s="819">
        <v>29.422999999999998</v>
      </c>
      <c r="D64" s="819">
        <v>8.6</v>
      </c>
      <c r="E64" s="820">
        <v>26.891999999999999</v>
      </c>
      <c r="F64" s="821">
        <v>18.713999999999999</v>
      </c>
      <c r="G64" s="819">
        <v>1</v>
      </c>
      <c r="H64" s="819">
        <v>0.23519999999999999</v>
      </c>
      <c r="I64" s="819">
        <v>35.96</v>
      </c>
      <c r="J64" s="819">
        <v>4.3999999999999997E-2</v>
      </c>
      <c r="K64" s="819">
        <v>5.0000000000000001E-3</v>
      </c>
      <c r="L64" s="822">
        <v>6.758</v>
      </c>
      <c r="M64" s="822">
        <v>7.5339999999999998</v>
      </c>
      <c r="N64" s="822">
        <v>0.35899999999999999</v>
      </c>
      <c r="O64" s="731">
        <v>1.431</v>
      </c>
    </row>
    <row r="65" spans="1:16">
      <c r="A65" s="831">
        <v>11</v>
      </c>
      <c r="B65" s="818" t="s">
        <v>801</v>
      </c>
      <c r="C65" s="819">
        <v>12.444000000000013</v>
      </c>
      <c r="D65" s="819">
        <v>9.0399999999999991</v>
      </c>
      <c r="E65" s="820">
        <v>11.319000000000001</v>
      </c>
      <c r="F65" s="821">
        <v>19.241</v>
      </c>
      <c r="G65" s="819">
        <v>1.0609999999999999</v>
      </c>
      <c r="H65" s="819">
        <v>0.21329999999999999</v>
      </c>
      <c r="I65" s="819">
        <v>32.229999999999997</v>
      </c>
      <c r="J65" s="819">
        <v>4.1000000000000002E-2</v>
      </c>
      <c r="K65" s="819">
        <v>5.0000000000000001E-3</v>
      </c>
      <c r="L65" s="822">
        <v>7.0990000000000002</v>
      </c>
      <c r="M65" s="822">
        <v>7.2809999999999997</v>
      </c>
      <c r="N65" s="822">
        <v>0.55800000000000005</v>
      </c>
      <c r="O65" s="731">
        <v>1.2869999999999999</v>
      </c>
    </row>
    <row r="66" spans="1:16">
      <c r="A66" s="831">
        <v>12</v>
      </c>
      <c r="B66" s="818"/>
      <c r="C66" s="819"/>
      <c r="D66" s="819"/>
      <c r="E66" s="820"/>
      <c r="F66" s="821"/>
      <c r="G66" s="819"/>
      <c r="H66" s="819"/>
      <c r="I66" s="819"/>
      <c r="J66" s="819"/>
      <c r="K66" s="819"/>
      <c r="L66" s="822"/>
      <c r="M66" s="822"/>
      <c r="N66" s="822"/>
      <c r="O66" s="731"/>
    </row>
    <row r="67" spans="1:16">
      <c r="A67" s="831">
        <v>13</v>
      </c>
      <c r="B67" s="818"/>
      <c r="C67" s="819"/>
      <c r="D67" s="819"/>
      <c r="E67" s="820"/>
      <c r="F67" s="821"/>
      <c r="G67" s="819"/>
      <c r="H67" s="819"/>
      <c r="I67" s="819"/>
      <c r="J67" s="819"/>
      <c r="K67" s="819"/>
      <c r="L67" s="822"/>
      <c r="M67" s="822"/>
      <c r="N67" s="822"/>
      <c r="O67" s="820"/>
    </row>
    <row r="68" spans="1:16">
      <c r="A68" s="831">
        <v>14</v>
      </c>
      <c r="B68" s="818"/>
      <c r="C68" s="819"/>
      <c r="D68" s="819"/>
      <c r="E68" s="820"/>
      <c r="F68" s="821"/>
      <c r="G68" s="819"/>
      <c r="H68" s="819"/>
      <c r="I68" s="819"/>
      <c r="J68" s="819"/>
      <c r="K68" s="819"/>
      <c r="L68" s="822"/>
      <c r="M68" s="822"/>
      <c r="N68" s="822"/>
      <c r="O68" s="820"/>
    </row>
    <row r="69" spans="1:16" ht="13.8" thickBot="1">
      <c r="A69" s="102">
        <v>15</v>
      </c>
      <c r="B69" s="734"/>
      <c r="C69" s="735"/>
      <c r="D69" s="735"/>
      <c r="E69" s="736"/>
      <c r="F69" s="737"/>
      <c r="G69" s="735"/>
      <c r="H69" s="735"/>
      <c r="I69" s="735"/>
      <c r="J69" s="735"/>
      <c r="K69" s="735"/>
      <c r="L69" s="738"/>
      <c r="M69" s="738"/>
      <c r="N69" s="738"/>
      <c r="O69" s="736"/>
    </row>
    <row r="70" spans="1:16" ht="13.8" thickBot="1"/>
    <row r="71" spans="1:16" ht="16.2" thickBot="1">
      <c r="C71" s="220" t="s">
        <v>3</v>
      </c>
      <c r="D71" s="220" t="s">
        <v>150</v>
      </c>
      <c r="E71" s="220" t="s">
        <v>4</v>
      </c>
      <c r="F71" s="1058" t="s">
        <v>546</v>
      </c>
      <c r="G71" s="1059" t="s">
        <v>5</v>
      </c>
      <c r="H71" s="1059" t="s">
        <v>6</v>
      </c>
      <c r="I71" s="1059" t="s">
        <v>7</v>
      </c>
      <c r="J71" s="1060" t="s">
        <v>8</v>
      </c>
      <c r="K71" s="1061" t="s">
        <v>9</v>
      </c>
      <c r="L71" s="1060" t="s">
        <v>10</v>
      </c>
      <c r="M71" s="1060" t="s">
        <v>547</v>
      </c>
      <c r="N71" s="1060" t="s">
        <v>75</v>
      </c>
      <c r="O71" s="1062" t="s">
        <v>129</v>
      </c>
    </row>
    <row r="72" spans="1:16" ht="14.4" thickBot="1">
      <c r="A72" s="823" t="s">
        <v>542</v>
      </c>
      <c r="B72" s="824"/>
      <c r="C72" s="1057">
        <v>57.5</v>
      </c>
      <c r="D72" s="1067">
        <f>SUMPRODUCT(D8:D37,$C$8:$C$37)/SUM($C$8:$C$37)</f>
        <v>5.5276331449275373</v>
      </c>
      <c r="E72" s="1068">
        <f>+C72*(1-D72/100)</f>
        <v>54.32161094166667</v>
      </c>
      <c r="F72" s="1068">
        <f t="shared" ref="F72:O72" si="0">SUMPRODUCT(F8:F37,$E$8:$E$37)/SUM($E$8:$E$37)</f>
        <v>16.164690430094993</v>
      </c>
      <c r="G72" s="1068">
        <f t="shared" si="0"/>
        <v>0.26536754129746454</v>
      </c>
      <c r="H72" s="1068">
        <f t="shared" si="0"/>
        <v>1.5730934132691887E-2</v>
      </c>
      <c r="I72" s="1068">
        <f t="shared" si="0"/>
        <v>40.783810596205306</v>
      </c>
      <c r="J72" s="1068">
        <f t="shared" si="0"/>
        <v>3.0399559105078439E-2</v>
      </c>
      <c r="K72" s="1068">
        <f t="shared" si="0"/>
        <v>1.8154277938685848E-2</v>
      </c>
      <c r="L72" s="1068">
        <f t="shared" si="0"/>
        <v>5.7176315842762824</v>
      </c>
      <c r="M72" s="1068">
        <f t="shared" si="0"/>
        <v>5.8945754000883648</v>
      </c>
      <c r="N72" s="1068">
        <f t="shared" si="0"/>
        <v>7.7959441962642054E-2</v>
      </c>
      <c r="O72" s="1069">
        <f t="shared" si="0"/>
        <v>0.92355571015684457</v>
      </c>
    </row>
    <row r="73" spans="1:16" ht="14.4" thickBot="1">
      <c r="A73" s="823" t="s">
        <v>543</v>
      </c>
      <c r="B73" s="824"/>
      <c r="C73" s="827">
        <v>10.5</v>
      </c>
      <c r="D73" s="1070">
        <f>IF(SUM($C$39:$C$53)&gt;0,SUMPRODUCT(D39:D53,$C$39:$C$53)/SUM($C$39:$C$53),0)</f>
        <v>8.7682021428571417</v>
      </c>
      <c r="E73" s="1066">
        <f>+C73*(1-D73/100)</f>
        <v>9.5793387750000001</v>
      </c>
      <c r="F73" s="1066">
        <f t="shared" ref="F73:O73" si="1">IF(SUM($E$39:$E$53)&gt;0,SUMPRODUCT(F39:F53,$E$39:$E$53)/SUM($E$39:$E$53),0)</f>
        <v>11.141536267942586</v>
      </c>
      <c r="G73" s="1066">
        <f t="shared" si="1"/>
        <v>0.23979437146585475</v>
      </c>
      <c r="H73" s="1066">
        <f t="shared" si="1"/>
        <v>0</v>
      </c>
      <c r="I73" s="1066">
        <f t="shared" si="1"/>
        <v>24.980198260113099</v>
      </c>
      <c r="J73" s="1066">
        <f t="shared" si="1"/>
        <v>3.6567177033492826E-2</v>
      </c>
      <c r="K73" s="1066">
        <f t="shared" si="1"/>
        <v>9.5375206611570257E-3</v>
      </c>
      <c r="L73" s="1066">
        <f t="shared" si="1"/>
        <v>11.715895998260116</v>
      </c>
      <c r="M73" s="1066">
        <f t="shared" si="1"/>
        <v>10.116945802522837</v>
      </c>
      <c r="N73" s="1066">
        <f t="shared" si="1"/>
        <v>6.3104976076555033E-2</v>
      </c>
      <c r="O73" s="1071">
        <f t="shared" si="1"/>
        <v>4.8752995824271421</v>
      </c>
    </row>
    <row r="74" spans="1:16" ht="14.4" thickBot="1">
      <c r="A74" s="1056" t="s">
        <v>118</v>
      </c>
      <c r="B74" s="824"/>
      <c r="C74" s="1057">
        <v>24.5</v>
      </c>
      <c r="D74" s="1072">
        <f>IF(SUM($C$55:$C$69)&gt;0,SUMPRODUCT(D55:D69,$C$55:$C$69)/SUM($C$55:$C$69),0)</f>
        <v>9.4799648979591851</v>
      </c>
      <c r="E74" s="1073">
        <f>+C74*(1-D74/100)</f>
        <v>22.1774086</v>
      </c>
      <c r="F74" s="1073">
        <f>IF(SUM($E$55:$E$69)&gt;0,SUMPRODUCT(F55:F69,$E$55:$E$69)/SUM($E$55:$E$69),0)</f>
        <v>21.247234628579587</v>
      </c>
      <c r="G74" s="1073">
        <f t="shared" ref="G74:O74" si="2">IF(SUM($E$55:$E$69)&gt;0,SUMPRODUCT(G55:G69,$E$55:$E$69)/SUM($E$55:$E$69),0)</f>
        <v>0.5457735028764461</v>
      </c>
      <c r="H74" s="1073">
        <f t="shared" si="2"/>
        <v>8.7361787417285716E-2</v>
      </c>
      <c r="I74" s="1073">
        <f t="shared" si="2"/>
        <v>31.643790821675367</v>
      </c>
      <c r="J74" s="1073">
        <f t="shared" si="2"/>
        <v>4.6419814599796334E-2</v>
      </c>
      <c r="K74" s="1073">
        <f t="shared" si="2"/>
        <v>5.0000000000000001E-3</v>
      </c>
      <c r="L74" s="1073">
        <f t="shared" si="2"/>
        <v>6.3636640927076176</v>
      </c>
      <c r="M74" s="1073">
        <f t="shared" si="2"/>
        <v>8.1255763902197078</v>
      </c>
      <c r="N74" s="1073">
        <f t="shared" si="2"/>
        <v>0.28986398223404614</v>
      </c>
      <c r="O74" s="1074">
        <f t="shared" si="2"/>
        <v>1.4114916712697321</v>
      </c>
    </row>
    <row r="75" spans="1:16" ht="14.4" thickBot="1">
      <c r="A75" s="826" t="s">
        <v>12</v>
      </c>
      <c r="B75" s="829"/>
      <c r="C75" s="830">
        <f>+C72+C73+C74</f>
        <v>92.5</v>
      </c>
      <c r="D75" s="1063">
        <f>+SUMPRODUCT(D72:D74,$C$72:$C$74)/SUM($C$72:$C$74)</f>
        <v>6.9423153333333349</v>
      </c>
      <c r="E75" s="1064">
        <f>+E72+E73+E74</f>
        <v>86.07835831666668</v>
      </c>
      <c r="F75" s="1065">
        <f>+SUMPRODUCT(F72:F74,$E$72:$E$74)/SUM($E$72:$E$74)</f>
        <v>16.915159714620547</v>
      </c>
      <c r="G75" s="1065">
        <f t="shared" ref="G75:O75" si="3">+SUMPRODUCT(G72:G74,$E$72:$E$74)/SUM($E$72:$E$74)</f>
        <v>0.33476597829447602</v>
      </c>
      <c r="H75" s="1065">
        <f t="shared" si="3"/>
        <v>3.2435420399321978E-2</v>
      </c>
      <c r="I75" s="1065">
        <f t="shared" si="3"/>
        <v>36.670231799948603</v>
      </c>
      <c r="J75" s="1065">
        <f t="shared" si="3"/>
        <v>3.5213422446075358E-2</v>
      </c>
      <c r="K75" s="1065">
        <f t="shared" si="3"/>
        <v>1.38062554960328E-2</v>
      </c>
      <c r="L75" s="1065">
        <f t="shared" si="3"/>
        <v>6.5516011812317938</v>
      </c>
      <c r="M75" s="1065">
        <f t="shared" si="3"/>
        <v>6.9392669906596103</v>
      </c>
      <c r="N75" s="1065">
        <f t="shared" si="3"/>
        <v>0.13090187374072582</v>
      </c>
      <c r="O75" s="1065">
        <f t="shared" si="3"/>
        <v>1.4890433592784811</v>
      </c>
      <c r="P75" s="825"/>
    </row>
    <row r="76" spans="1:16" ht="13.8" thickBot="1"/>
    <row r="77" spans="1:16" ht="14.4" thickBot="1">
      <c r="D77" s="103"/>
      <c r="F77" s="1273" t="s">
        <v>107</v>
      </c>
      <c r="G77" s="1274"/>
      <c r="H77" s="1274"/>
      <c r="I77" s="1274"/>
      <c r="J77" s="1274"/>
      <c r="K77" s="1274"/>
      <c r="L77" s="1274"/>
      <c r="M77" s="1274"/>
      <c r="N77" s="1274"/>
      <c r="O77" s="1275"/>
    </row>
    <row r="78" spans="1:16" ht="13.8" thickBot="1">
      <c r="D78" s="104" t="s">
        <v>113</v>
      </c>
      <c r="F78" s="105" t="s">
        <v>104</v>
      </c>
      <c r="G78" s="106" t="s">
        <v>132</v>
      </c>
      <c r="H78" s="106" t="s">
        <v>106</v>
      </c>
      <c r="I78" s="106" t="s">
        <v>93</v>
      </c>
      <c r="J78" s="106" t="s">
        <v>105</v>
      </c>
      <c r="K78" s="106" t="s">
        <v>6</v>
      </c>
      <c r="L78" s="106" t="s">
        <v>8</v>
      </c>
      <c r="M78" s="106" t="s">
        <v>9</v>
      </c>
      <c r="N78" s="106" t="s">
        <v>75</v>
      </c>
      <c r="O78" s="106" t="s">
        <v>129</v>
      </c>
      <c r="P78" s="107" t="s">
        <v>103</v>
      </c>
    </row>
    <row r="79" spans="1:16" ht="14.4" thickBot="1">
      <c r="D79" s="109">
        <f>+D75</f>
        <v>6.9423153333333349</v>
      </c>
      <c r="E79" s="108"/>
      <c r="F79" s="110">
        <f>+I75*(118.7+16*2)/118.7</f>
        <v>46.556056716531202</v>
      </c>
      <c r="G79" s="111">
        <f>+(L75-H79*55.85/119.85)*(55.85*2+16*3)/(55.85*2)</f>
        <v>8.9492985641031773</v>
      </c>
      <c r="H79" s="111">
        <f>+G75*(55.85+2*32)/(32*2)</f>
        <v>0.62690160154051477</v>
      </c>
      <c r="I79" s="111">
        <f>+F75</f>
        <v>16.915159714620547</v>
      </c>
      <c r="J79" s="111">
        <f>+M75</f>
        <v>6.9392669906596103</v>
      </c>
      <c r="K79" s="112">
        <f>+H75</f>
        <v>3.2435420399321978E-2</v>
      </c>
      <c r="L79" s="112">
        <f>+J75</f>
        <v>3.5213422446075358E-2</v>
      </c>
      <c r="M79" s="112">
        <f>+K75</f>
        <v>1.38062554960328E-2</v>
      </c>
      <c r="N79" s="112">
        <f>+N75</f>
        <v>0.13090187374072582</v>
      </c>
      <c r="O79" s="112">
        <f>+O75</f>
        <v>1.4890433592784811</v>
      </c>
      <c r="P79" s="113">
        <f>100-SUM(F79:O79)</f>
        <v>18.311916081184307</v>
      </c>
    </row>
  </sheetData>
  <sheetProtection password="CFDD" sheet="1" objects="1" scenarios="1"/>
  <mergeCells count="3">
    <mergeCell ref="F77:O77"/>
    <mergeCell ref="F5:O5"/>
    <mergeCell ref="A1:O1"/>
  </mergeCells>
  <phoneticPr fontId="10" type="noConversion"/>
  <printOptions horizontalCentered="1" verticalCentered="1"/>
  <pageMargins left="0.75" right="0.75" top="1" bottom="1" header="0" footer="0"/>
  <pageSetup paperSize="9" scale="85" orientation="landscape" horizontalDpi="300" verticalDpi="300" r:id="rId1"/>
  <headerFooter alignWithMargins="0">
    <oddFooter>&amp;LGO-F-7011 Rev. 00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B145-6E70-46AF-A495-8E3CBC517F93}">
  <sheetPr codeName="Hoja9"/>
  <dimension ref="A1:U56"/>
  <sheetViews>
    <sheetView topLeftCell="A12" workbookViewId="0">
      <selection activeCell="C32" sqref="C32"/>
    </sheetView>
  </sheetViews>
  <sheetFormatPr baseColWidth="10" defaultRowHeight="13.2"/>
  <cols>
    <col min="1" max="1" width="3.109375" customWidth="1"/>
    <col min="2" max="2" width="12.33203125" customWidth="1"/>
    <col min="4" max="4" width="12.33203125" bestFit="1" customWidth="1"/>
    <col min="8" max="8" width="12" customWidth="1"/>
    <col min="11" max="11" width="11.5546875" customWidth="1"/>
  </cols>
  <sheetData>
    <row r="1" spans="1:14" ht="17.399999999999999">
      <c r="A1" s="1279" t="s">
        <v>484</v>
      </c>
      <c r="B1" s="1279"/>
      <c r="C1" s="1279"/>
      <c r="D1" s="1279"/>
      <c r="E1" s="1279"/>
      <c r="F1" s="1279"/>
      <c r="G1" s="1279"/>
      <c r="H1" s="1279"/>
      <c r="I1" s="1279"/>
      <c r="J1" s="1279"/>
      <c r="K1" s="1279"/>
      <c r="N1" t="s">
        <v>536</v>
      </c>
    </row>
    <row r="2" spans="1:14" ht="15.6">
      <c r="A2" s="158"/>
    </row>
    <row r="3" spans="1:14">
      <c r="A3" s="7">
        <v>1</v>
      </c>
      <c r="B3" s="190" t="s">
        <v>262</v>
      </c>
      <c r="D3" s="1122">
        <f>+IF(Carga!AB51=3,65,0)</f>
        <v>0</v>
      </c>
      <c r="E3" t="s">
        <v>268</v>
      </c>
      <c r="F3" s="583" t="s">
        <v>485</v>
      </c>
      <c r="G3" s="266" t="s">
        <v>258</v>
      </c>
      <c r="J3" s="157">
        <f>+'Bal Mat Fus'!L15</f>
        <v>12.877891991873613</v>
      </c>
      <c r="K3" s="848" t="s">
        <v>555</v>
      </c>
      <c r="L3" s="157">
        <f>+J3*Carga!O50/22.4</f>
        <v>10.111904761904761</v>
      </c>
      <c r="M3" s="848" t="s">
        <v>556</v>
      </c>
    </row>
    <row r="4" spans="1:14">
      <c r="A4" s="7">
        <v>2</v>
      </c>
      <c r="B4" s="190" t="s">
        <v>266</v>
      </c>
      <c r="D4" s="739">
        <v>0</v>
      </c>
      <c r="E4" t="s">
        <v>212</v>
      </c>
      <c r="F4" s="583" t="s">
        <v>485</v>
      </c>
      <c r="G4" t="s">
        <v>297</v>
      </c>
      <c r="J4" s="347">
        <f>+'Bal Mat Fus'!L22</f>
        <v>13.095236523600001</v>
      </c>
      <c r="K4" t="s">
        <v>229</v>
      </c>
    </row>
    <row r="5" spans="1:14">
      <c r="A5" s="7">
        <v>3</v>
      </c>
      <c r="B5" s="190" t="s">
        <v>267</v>
      </c>
      <c r="D5" s="739">
        <v>98</v>
      </c>
      <c r="E5" t="s">
        <v>212</v>
      </c>
    </row>
    <row r="6" spans="1:14">
      <c r="A6" s="7">
        <v>4</v>
      </c>
      <c r="B6" s="190" t="s">
        <v>486</v>
      </c>
      <c r="F6" s="583" t="s">
        <v>485</v>
      </c>
      <c r="G6" s="190" t="s">
        <v>492</v>
      </c>
    </row>
    <row r="7" spans="1:14">
      <c r="A7" s="7"/>
      <c r="B7" s="190" t="s">
        <v>487</v>
      </c>
      <c r="D7" s="740">
        <v>100</v>
      </c>
      <c r="E7" t="s">
        <v>299</v>
      </c>
    </row>
    <row r="8" spans="1:14">
      <c r="G8" s="278" t="s">
        <v>7</v>
      </c>
      <c r="H8" s="278" t="s">
        <v>10</v>
      </c>
      <c r="I8" s="278" t="s">
        <v>93</v>
      </c>
      <c r="J8" s="278" t="s">
        <v>105</v>
      </c>
      <c r="K8" s="278" t="s">
        <v>129</v>
      </c>
      <c r="L8" s="278" t="s">
        <v>131</v>
      </c>
    </row>
    <row r="9" spans="1:14">
      <c r="A9" s="7">
        <v>5</v>
      </c>
      <c r="B9" s="190" t="s">
        <v>196</v>
      </c>
      <c r="D9" s="7" t="s">
        <v>233</v>
      </c>
      <c r="E9" s="7" t="s">
        <v>234</v>
      </c>
      <c r="G9" s="740">
        <v>1</v>
      </c>
      <c r="H9" s="740">
        <f>17*55.8/71.8</f>
        <v>13.211699164345402</v>
      </c>
      <c r="I9" s="740">
        <v>40</v>
      </c>
      <c r="J9" s="740">
        <v>13</v>
      </c>
      <c r="K9" s="740">
        <v>20</v>
      </c>
      <c r="L9" s="740">
        <v>3.5</v>
      </c>
    </row>
    <row r="10" spans="1:14">
      <c r="B10" s="3" t="s">
        <v>488</v>
      </c>
      <c r="C10" s="184"/>
      <c r="D10" s="741">
        <v>5</v>
      </c>
      <c r="E10" s="741">
        <v>15</v>
      </c>
      <c r="F10" t="s">
        <v>212</v>
      </c>
    </row>
    <row r="11" spans="1:14">
      <c r="D11" s="583" t="s">
        <v>519</v>
      </c>
      <c r="E11" s="262">
        <f ca="1">+(D10*Principal!Q42+Principal!Q89*Factores!E10)/(Principal!Q42+Principal!Q89)</f>
        <v>8.2198094949838261</v>
      </c>
    </row>
    <row r="12" spans="1:14">
      <c r="A12" s="7">
        <v>6</v>
      </c>
      <c r="B12" s="190" t="s">
        <v>278</v>
      </c>
    </row>
    <row r="13" spans="1:14">
      <c r="C13" s="7" t="s">
        <v>212</v>
      </c>
      <c r="D13" s="7"/>
      <c r="F13">
        <v>7</v>
      </c>
      <c r="G13" s="190" t="s">
        <v>279</v>
      </c>
    </row>
    <row r="14" spans="1:14">
      <c r="B14" s="183" t="s">
        <v>209</v>
      </c>
      <c r="C14" s="742">
        <v>6</v>
      </c>
      <c r="D14" s="224"/>
      <c r="H14" s="7" t="s">
        <v>212</v>
      </c>
      <c r="J14" s="236"/>
    </row>
    <row r="15" spans="1:14">
      <c r="B15" s="100" t="s">
        <v>210</v>
      </c>
      <c r="C15" s="726">
        <v>10</v>
      </c>
      <c r="D15" s="841" t="s">
        <v>691</v>
      </c>
      <c r="G15" s="134"/>
      <c r="H15" s="278" t="s">
        <v>74</v>
      </c>
      <c r="I15" s="278" t="s">
        <v>692</v>
      </c>
      <c r="J15" s="236"/>
    </row>
    <row r="16" spans="1:14">
      <c r="B16" s="100" t="s">
        <v>211</v>
      </c>
      <c r="C16" s="800">
        <f>100-C14-C15-C17</f>
        <v>82</v>
      </c>
      <c r="D16" s="224"/>
      <c r="G16" s="100" t="s">
        <v>233</v>
      </c>
      <c r="H16" s="726">
        <v>60</v>
      </c>
      <c r="I16" s="726">
        <v>65</v>
      </c>
      <c r="J16" s="298"/>
    </row>
    <row r="17" spans="1:21">
      <c r="B17" s="260" t="s">
        <v>74</v>
      </c>
      <c r="C17" s="801">
        <v>2</v>
      </c>
      <c r="D17" s="224"/>
      <c r="G17" s="260" t="s">
        <v>234</v>
      </c>
      <c r="H17" s="306">
        <f>100-H16</f>
        <v>40</v>
      </c>
      <c r="I17" s="306">
        <f>100-I16</f>
        <v>35</v>
      </c>
      <c r="J17" s="307"/>
    </row>
    <row r="18" spans="1:21">
      <c r="C18" s="252">
        <f>+SUM(C14:C17)</f>
        <v>100</v>
      </c>
      <c r="D18" s="302"/>
      <c r="H18" s="262">
        <f>+H16+H17</f>
        <v>100</v>
      </c>
      <c r="I18" s="262">
        <f>+I16+I17</f>
        <v>100</v>
      </c>
      <c r="J18" s="252"/>
    </row>
    <row r="19" spans="1:21">
      <c r="C19" s="252"/>
      <c r="D19" s="302"/>
    </row>
    <row r="20" spans="1:21">
      <c r="A20" s="7">
        <v>8</v>
      </c>
      <c r="B20" s="190" t="s">
        <v>280</v>
      </c>
    </row>
    <row r="21" spans="1:21">
      <c r="A21" s="7"/>
      <c r="C21" s="7" t="s">
        <v>233</v>
      </c>
      <c r="D21" s="7" t="s">
        <v>234</v>
      </c>
      <c r="K21" s="190" t="s">
        <v>693</v>
      </c>
    </row>
    <row r="22" spans="1:21">
      <c r="A22" s="7"/>
      <c r="B22" s="152" t="s">
        <v>209</v>
      </c>
      <c r="C22" s="742">
        <v>0.5</v>
      </c>
      <c r="D22" s="709">
        <v>1</v>
      </c>
      <c r="E22" t="s">
        <v>212</v>
      </c>
      <c r="G22" s="1027" t="s">
        <v>618</v>
      </c>
      <c r="H22" s="1016"/>
      <c r="I22" s="1016"/>
      <c r="K22" t="s">
        <v>233</v>
      </c>
      <c r="L22" s="740">
        <v>65</v>
      </c>
      <c r="M22" t="s">
        <v>412</v>
      </c>
    </row>
    <row r="23" spans="1:21">
      <c r="A23" s="7"/>
      <c r="B23" s="135" t="s">
        <v>210</v>
      </c>
      <c r="C23" s="726">
        <v>10</v>
      </c>
      <c r="D23" s="710">
        <v>7</v>
      </c>
      <c r="E23" t="s">
        <v>212</v>
      </c>
      <c r="G23" s="1028">
        <v>20.5</v>
      </c>
      <c r="H23" s="1027" t="s">
        <v>212</v>
      </c>
      <c r="I23" s="1016"/>
      <c r="K23" t="s">
        <v>234</v>
      </c>
      <c r="L23" s="740">
        <v>71.5</v>
      </c>
      <c r="M23" t="s">
        <v>412</v>
      </c>
    </row>
    <row r="24" spans="1:21">
      <c r="A24" s="7"/>
      <c r="B24" s="135" t="s">
        <v>211</v>
      </c>
      <c r="C24" s="726">
        <v>75</v>
      </c>
      <c r="D24" s="710">
        <v>77</v>
      </c>
      <c r="E24" t="s">
        <v>212</v>
      </c>
    </row>
    <row r="25" spans="1:21">
      <c r="A25" s="7"/>
      <c r="B25" s="136" t="s">
        <v>74</v>
      </c>
      <c r="C25" s="306">
        <f>100-SUM(C22:C24)</f>
        <v>14.5</v>
      </c>
      <c r="D25" s="306">
        <f>100-SUM(D22:D24)</f>
        <v>15</v>
      </c>
      <c r="E25" t="s">
        <v>212</v>
      </c>
      <c r="G25" s="1216" t="s">
        <v>753</v>
      </c>
      <c r="H25" s="1016"/>
      <c r="I25" s="1016"/>
    </row>
    <row r="26" spans="1:21">
      <c r="C26" s="7">
        <f>+SUM(C22:C25)</f>
        <v>100</v>
      </c>
      <c r="D26" s="7">
        <f>+SUM(D22:D25)</f>
        <v>100</v>
      </c>
      <c r="G26" s="1028">
        <v>40</v>
      </c>
      <c r="H26" s="1027" t="s">
        <v>212</v>
      </c>
      <c r="I26" s="1016"/>
      <c r="M26" t="s">
        <v>587</v>
      </c>
    </row>
    <row r="27" spans="1:21">
      <c r="M27" t="s">
        <v>589</v>
      </c>
    </row>
    <row r="28" spans="1:21">
      <c r="A28" s="7">
        <v>9</v>
      </c>
      <c r="B28" s="190" t="s">
        <v>282</v>
      </c>
      <c r="M28" t="s">
        <v>210</v>
      </c>
      <c r="N28" s="912">
        <v>1</v>
      </c>
      <c r="O28" s="846" t="s">
        <v>614</v>
      </c>
    </row>
    <row r="29" spans="1:21">
      <c r="C29" s="7" t="s">
        <v>233</v>
      </c>
      <c r="D29" s="220"/>
      <c r="G29" s="7" t="s">
        <v>234</v>
      </c>
      <c r="H29" s="220"/>
      <c r="J29" s="715"/>
      <c r="K29" s="715"/>
      <c r="M29" t="s">
        <v>588</v>
      </c>
      <c r="N29" s="912">
        <v>0</v>
      </c>
    </row>
    <row r="30" spans="1:21">
      <c r="B30" s="152" t="s">
        <v>581</v>
      </c>
      <c r="C30" s="743">
        <f>+'Bal Mat Fus'!C178</f>
        <v>3.8671602892473151</v>
      </c>
      <c r="D30" s="265">
        <f>+'Bal Mat Fus'!D179</f>
        <v>59.857344274301674</v>
      </c>
      <c r="E30" s="703" t="s">
        <v>527</v>
      </c>
      <c r="G30" s="742">
        <v>0</v>
      </c>
      <c r="H30" s="265">
        <f>+'Bal Mat Red'!D173</f>
        <v>-36.272111213084969</v>
      </c>
      <c r="I30" s="703" t="s">
        <v>397</v>
      </c>
      <c r="J30" s="750"/>
      <c r="K30" s="750"/>
      <c r="N30" s="262"/>
    </row>
    <row r="31" spans="1:21">
      <c r="B31" s="135" t="s">
        <v>245</v>
      </c>
      <c r="C31" s="744">
        <v>0</v>
      </c>
      <c r="G31" s="726">
        <v>0</v>
      </c>
      <c r="J31" s="750"/>
      <c r="K31" s="750"/>
      <c r="M31" t="s">
        <v>208</v>
      </c>
      <c r="N31" s="912">
        <v>30</v>
      </c>
      <c r="O31" t="s">
        <v>590</v>
      </c>
      <c r="U31" s="749">
        <v>1</v>
      </c>
    </row>
    <row r="32" spans="1:21">
      <c r="A32" s="7" t="s">
        <v>79</v>
      </c>
      <c r="B32" s="139" t="s">
        <v>579</v>
      </c>
      <c r="C32" s="745">
        <v>0</v>
      </c>
      <c r="D32" s="388">
        <f>+'Bal Mat Fus'!D181</f>
        <v>4.6026041507772115</v>
      </c>
      <c r="E32" t="s">
        <v>526</v>
      </c>
      <c r="G32" s="746">
        <v>50</v>
      </c>
      <c r="J32" s="750"/>
      <c r="K32" s="750"/>
      <c r="N32" s="846" t="s">
        <v>615</v>
      </c>
    </row>
    <row r="33" spans="1:17">
      <c r="A33" s="7" t="s">
        <v>193</v>
      </c>
      <c r="B33" s="144" t="s">
        <v>385</v>
      </c>
      <c r="C33" s="300">
        <f>100-SUM(C30:C32)</f>
        <v>96.132839710752691</v>
      </c>
      <c r="D33" s="835">
        <f>IF(C30&gt;20,D32*N28,IF(Carga!AF26&gt;30,(100-C30),D32*N29))</f>
        <v>0</v>
      </c>
      <c r="G33" s="704">
        <f>100-SUM(G30:G32)</f>
        <v>50</v>
      </c>
      <c r="J33" s="750"/>
      <c r="K33" s="750"/>
    </row>
    <row r="34" spans="1:17">
      <c r="A34" s="7"/>
      <c r="C34" s="262">
        <f>SUM(C30:C33)</f>
        <v>100</v>
      </c>
      <c r="G34" s="262">
        <f>SUM(G30:G33)</f>
        <v>100</v>
      </c>
      <c r="J34" s="715"/>
      <c r="K34" s="715"/>
    </row>
    <row r="35" spans="1:17">
      <c r="A35" s="7"/>
    </row>
    <row r="36" spans="1:17">
      <c r="A36" s="7">
        <v>10</v>
      </c>
      <c r="B36" s="190" t="s">
        <v>498</v>
      </c>
      <c r="D36" s="741">
        <v>1.25</v>
      </c>
      <c r="E36" t="s">
        <v>302</v>
      </c>
      <c r="F36" s="262"/>
    </row>
    <row r="37" spans="1:17">
      <c r="A37" s="7"/>
    </row>
    <row r="38" spans="1:17">
      <c r="A38" s="7">
        <v>11</v>
      </c>
      <c r="B38" s="190" t="s">
        <v>493</v>
      </c>
    </row>
    <row r="39" spans="1:17">
      <c r="A39" s="7"/>
      <c r="F39">
        <v>12</v>
      </c>
      <c r="G39" s="190" t="s">
        <v>499</v>
      </c>
      <c r="J39">
        <v>13</v>
      </c>
      <c r="K39" s="190" t="s">
        <v>517</v>
      </c>
      <c r="N39" s="190">
        <v>13</v>
      </c>
      <c r="O39" s="190" t="s">
        <v>758</v>
      </c>
    </row>
    <row r="40" spans="1:17">
      <c r="A40" s="7"/>
      <c r="B40" t="s">
        <v>354</v>
      </c>
      <c r="D40" s="1118">
        <f>+Perdidas!C48</f>
        <v>358.13752128000004</v>
      </c>
      <c r="E40" t="s">
        <v>236</v>
      </c>
    </row>
    <row r="41" spans="1:17">
      <c r="A41" s="7"/>
      <c r="B41" t="s">
        <v>356</v>
      </c>
      <c r="D41" s="747">
        <v>27</v>
      </c>
      <c r="E41" s="747">
        <f>+D41</f>
        <v>27</v>
      </c>
      <c r="F41" t="s">
        <v>334</v>
      </c>
      <c r="G41" s="278" t="s">
        <v>233</v>
      </c>
      <c r="H41" s="278" t="s">
        <v>234</v>
      </c>
      <c r="K41" s="278" t="s">
        <v>233</v>
      </c>
      <c r="L41" s="278" t="s">
        <v>234</v>
      </c>
      <c r="O41" s="278" t="s">
        <v>233</v>
      </c>
      <c r="P41" s="278" t="s">
        <v>234</v>
      </c>
    </row>
    <row r="42" spans="1:17">
      <c r="A42" s="7"/>
      <c r="B42" t="s">
        <v>355</v>
      </c>
      <c r="D42" s="747">
        <v>33</v>
      </c>
      <c r="E42" s="747">
        <v>27.5</v>
      </c>
      <c r="F42" t="s">
        <v>334</v>
      </c>
      <c r="G42" s="748">
        <v>200</v>
      </c>
      <c r="H42" s="748">
        <v>200</v>
      </c>
      <c r="I42" t="s">
        <v>334</v>
      </c>
      <c r="K42" s="748">
        <v>2000</v>
      </c>
      <c r="L42" s="748">
        <v>2000</v>
      </c>
      <c r="M42" t="s">
        <v>268</v>
      </c>
      <c r="O42" s="748">
        <v>79</v>
      </c>
      <c r="P42" s="748">
        <v>100</v>
      </c>
      <c r="Q42" s="266" t="s">
        <v>212</v>
      </c>
    </row>
    <row r="43" spans="1:17">
      <c r="A43" s="7"/>
      <c r="C43" s="1240">
        <v>6.25</v>
      </c>
      <c r="D43" s="846" t="s">
        <v>233</v>
      </c>
      <c r="E43" s="846" t="s">
        <v>234</v>
      </c>
      <c r="F43" s="246">
        <v>4.25</v>
      </c>
    </row>
    <row r="44" spans="1:17">
      <c r="A44" s="7">
        <v>14</v>
      </c>
      <c r="B44" s="190" t="s">
        <v>358</v>
      </c>
    </row>
    <row r="46" spans="1:17">
      <c r="B46" s="1276" t="s">
        <v>496</v>
      </c>
      <c r="C46" s="1277"/>
      <c r="D46" s="1277"/>
      <c r="E46" s="1277"/>
      <c r="F46" s="1278"/>
      <c r="H46" s="1276" t="s">
        <v>497</v>
      </c>
      <c r="I46" s="1277"/>
      <c r="J46" s="1277"/>
      <c r="K46" s="1277"/>
      <c r="L46" s="1278"/>
    </row>
    <row r="48" spans="1:17">
      <c r="B48" s="266" t="s">
        <v>687</v>
      </c>
      <c r="C48" s="740">
        <f>40+5</f>
        <v>45</v>
      </c>
      <c r="D48" t="s">
        <v>683</v>
      </c>
      <c r="E48" s="278" t="s">
        <v>494</v>
      </c>
      <c r="F48" s="278" t="s">
        <v>495</v>
      </c>
      <c r="H48" s="266" t="s">
        <v>687</v>
      </c>
      <c r="I48" s="740">
        <f>40+10</f>
        <v>50</v>
      </c>
      <c r="J48" t="s">
        <v>683</v>
      </c>
      <c r="K48" s="278" t="s">
        <v>494</v>
      </c>
      <c r="L48" s="278" t="s">
        <v>495</v>
      </c>
    </row>
    <row r="49" spans="2:12">
      <c r="B49" s="266" t="s">
        <v>688</v>
      </c>
      <c r="C49" s="400">
        <f>IF(Principal!AF10=1,Principal!G46,Principal!Z10)</f>
        <v>985</v>
      </c>
      <c r="D49" t="s">
        <v>683</v>
      </c>
      <c r="E49" s="740">
        <f>10-5</f>
        <v>5</v>
      </c>
      <c r="F49" s="740">
        <v>3</v>
      </c>
      <c r="H49" s="266" t="s">
        <v>688</v>
      </c>
      <c r="I49" s="400">
        <f>IF(Principal!AF10=1,Principal!G95,Principal!Z12)</f>
        <v>1150</v>
      </c>
      <c r="J49" t="s">
        <v>683</v>
      </c>
      <c r="K49" s="740">
        <v>6</v>
      </c>
      <c r="L49" s="740">
        <v>4</v>
      </c>
    </row>
    <row r="50" spans="2:12">
      <c r="E50" s="7" t="s">
        <v>212</v>
      </c>
      <c r="F50" s="7" t="s">
        <v>212</v>
      </c>
      <c r="K50" s="7" t="s">
        <v>212</v>
      </c>
      <c r="L50" s="7" t="s">
        <v>212</v>
      </c>
    </row>
    <row r="53" spans="2:12">
      <c r="B53" t="s">
        <v>695</v>
      </c>
    </row>
    <row r="54" spans="2:12">
      <c r="B54" t="s">
        <v>93</v>
      </c>
      <c r="C54" s="740">
        <v>40</v>
      </c>
    </row>
    <row r="55" spans="2:12">
      <c r="B55" t="s">
        <v>105</v>
      </c>
      <c r="C55" s="740">
        <v>30</v>
      </c>
    </row>
    <row r="56" spans="2:12">
      <c r="B56" t="s">
        <v>132</v>
      </c>
      <c r="C56" s="395">
        <f>100-C54-C55</f>
        <v>30</v>
      </c>
    </row>
  </sheetData>
  <sheetProtection password="CFDD" sheet="1" objects="1" scenarios="1"/>
  <mergeCells count="3">
    <mergeCell ref="A1:K1"/>
    <mergeCell ref="B46:F46"/>
    <mergeCell ref="H46:L46"/>
  </mergeCells>
  <phoneticPr fontId="10" type="noConversion"/>
  <pageMargins left="0.75" right="0.75" top="1" bottom="1" header="0" footer="0"/>
  <pageSetup paperSize="9" orientation="portrait" horizontalDpi="4294967293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Option Button 3">
              <controlPr locked="0" defaultSize="0" autoFill="0" autoLine="0" autoPict="0">
                <anchor moveWithCells="1" sizeWithCells="1">
                  <from>
                    <xdr:col>9</xdr:col>
                    <xdr:colOff>121920</xdr:colOff>
                    <xdr:row>29</xdr:row>
                    <xdr:rowOff>137160</xdr:rowOff>
                  </from>
                  <to>
                    <xdr:col>10</xdr:col>
                    <xdr:colOff>53340</xdr:colOff>
                    <xdr:row>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Option Button 4">
              <controlPr locked="0" defaultSize="0" autoFill="0" autoLine="0" autoPict="0">
                <anchor moveWithCells="1" sizeWithCells="1">
                  <from>
                    <xdr:col>9</xdr:col>
                    <xdr:colOff>152400</xdr:colOff>
                    <xdr:row>31</xdr:row>
                    <xdr:rowOff>7620</xdr:rowOff>
                  </from>
                  <to>
                    <xdr:col>10</xdr:col>
                    <xdr:colOff>83820</xdr:colOff>
                    <xdr:row>32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Group Box 5">
              <controlPr locked="0" defaultSize="0" autoFill="0" autoPict="0">
                <anchor moveWithCells="1" sizeWithCells="1">
                  <from>
                    <xdr:col>9</xdr:col>
                    <xdr:colOff>45720</xdr:colOff>
                    <xdr:row>29</xdr:row>
                    <xdr:rowOff>38100</xdr:rowOff>
                  </from>
                  <to>
                    <xdr:col>10</xdr:col>
                    <xdr:colOff>213360</xdr:colOff>
                    <xdr:row>32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DC63D-3C06-40FC-849A-4E7C28A412DA}">
  <sheetPr codeName="Hoja4"/>
  <dimension ref="A1:BW59"/>
  <sheetViews>
    <sheetView topLeftCell="A27" zoomScale="110" zoomScaleNormal="110" workbookViewId="0">
      <selection activeCell="E40" sqref="E40"/>
    </sheetView>
  </sheetViews>
  <sheetFormatPr baseColWidth="10" defaultRowHeight="13.2"/>
  <cols>
    <col min="1" max="1" width="13.109375" customWidth="1"/>
    <col min="7" max="7" width="6.6640625" customWidth="1"/>
    <col min="8" max="18" width="8.5546875" customWidth="1"/>
  </cols>
  <sheetData>
    <row r="1" spans="1:75" ht="17.399999999999999">
      <c r="A1" s="661" t="s">
        <v>137</v>
      </c>
      <c r="S1" t="s">
        <v>537</v>
      </c>
    </row>
    <row r="3" spans="1:75">
      <c r="C3" s="7" t="s">
        <v>3</v>
      </c>
      <c r="D3" s="7" t="s">
        <v>139</v>
      </c>
      <c r="H3" s="153" t="s">
        <v>7</v>
      </c>
      <c r="I3" s="162" t="s">
        <v>10</v>
      </c>
      <c r="J3" s="162" t="s">
        <v>93</v>
      </c>
      <c r="K3" s="162" t="s">
        <v>105</v>
      </c>
      <c r="L3" s="162" t="s">
        <v>129</v>
      </c>
      <c r="M3" s="162" t="s">
        <v>131</v>
      </c>
      <c r="N3" s="162" t="s">
        <v>5</v>
      </c>
      <c r="O3" s="162" t="s">
        <v>6</v>
      </c>
      <c r="P3" s="162" t="s">
        <v>8</v>
      </c>
      <c r="Q3" s="162" t="s">
        <v>9</v>
      </c>
      <c r="R3" s="154" t="s">
        <v>75</v>
      </c>
    </row>
    <row r="4" spans="1:75" ht="15.6">
      <c r="A4" s="158" t="s">
        <v>20</v>
      </c>
      <c r="C4" s="828">
        <f>+'Analisis Conc.'!C75</f>
        <v>92.5</v>
      </c>
      <c r="D4" s="157">
        <f>+'Analisis Conc.'!D79</f>
        <v>6.9423153333333349</v>
      </c>
      <c r="H4" s="156">
        <f>+'Analisis Conc.'!I75</f>
        <v>36.670231799948603</v>
      </c>
      <c r="I4" s="172">
        <f>+'Analisis Conc.'!L75</f>
        <v>6.5516011812317938</v>
      </c>
      <c r="J4" s="172">
        <f>+'Analisis Conc.'!F75</f>
        <v>16.915159714620547</v>
      </c>
      <c r="K4" s="172">
        <f>+'Analisis Conc.'!M75</f>
        <v>6.9392669906596103</v>
      </c>
      <c r="L4" s="172">
        <f>+'Analisis Conc.'!O75</f>
        <v>1.4890433592784811</v>
      </c>
      <c r="M4" s="164"/>
      <c r="N4" s="172">
        <f>+'Analisis Conc.'!G75</f>
        <v>0.33476597829447602</v>
      </c>
      <c r="O4" s="163">
        <f>+'Analisis Conc.'!H75</f>
        <v>3.2435420399321978E-2</v>
      </c>
      <c r="P4" s="163">
        <f>+'Analisis Conc.'!J75</f>
        <v>3.5213422446075358E-2</v>
      </c>
      <c r="Q4" s="163">
        <f>+'Analisis Conc.'!K75</f>
        <v>1.38062554960328E-2</v>
      </c>
      <c r="R4" s="165">
        <f>+'Analisis Conc.'!N75</f>
        <v>0.13090187374072582</v>
      </c>
    </row>
    <row r="5" spans="1:75">
      <c r="C5" s="7"/>
      <c r="D5" s="7"/>
      <c r="BW5" t="e">
        <f ca="1">[0]!QDATA("Root.Fundicion.Tratamiento de Gases.Gas Cooler.FI-0176SUM.SUM.Value:Value",'Analisis Conc.'!H5,,,,,0,0,0,1)</f>
        <v>#NAME?</v>
      </c>
    </row>
    <row r="6" spans="1:75" ht="15.6">
      <c r="A6" s="158" t="s">
        <v>138</v>
      </c>
      <c r="C6" s="7" t="s">
        <v>3</v>
      </c>
      <c r="D6" s="7" t="s">
        <v>139</v>
      </c>
    </row>
    <row r="7" spans="1:75">
      <c r="C7" s="7"/>
      <c r="D7" s="7"/>
    </row>
    <row r="8" spans="1:75">
      <c r="A8" t="s">
        <v>99</v>
      </c>
      <c r="C8" s="773">
        <v>0.1</v>
      </c>
      <c r="D8" s="774">
        <v>1</v>
      </c>
    </row>
    <row r="9" spans="1:75">
      <c r="A9" t="s">
        <v>100</v>
      </c>
      <c r="C9" s="773">
        <v>0</v>
      </c>
      <c r="D9" s="774">
        <v>1</v>
      </c>
    </row>
    <row r="10" spans="1:75">
      <c r="A10" t="s">
        <v>117</v>
      </c>
      <c r="C10" s="773">
        <v>0</v>
      </c>
      <c r="D10" s="774">
        <v>1</v>
      </c>
    </row>
    <row r="11" spans="1:75">
      <c r="A11" t="s">
        <v>102</v>
      </c>
      <c r="C11" s="773">
        <v>0</v>
      </c>
      <c r="D11" s="774">
        <v>2</v>
      </c>
    </row>
    <row r="12" spans="1:75">
      <c r="A12" t="s">
        <v>101</v>
      </c>
      <c r="C12" s="773"/>
      <c r="D12" s="774"/>
    </row>
    <row r="13" spans="1:75">
      <c r="A13" t="s">
        <v>118</v>
      </c>
      <c r="C13" s="773">
        <v>0</v>
      </c>
      <c r="D13" s="774">
        <v>2</v>
      </c>
    </row>
    <row r="14" spans="1:75">
      <c r="C14" s="7"/>
      <c r="D14" s="7"/>
      <c r="H14" s="153" t="s">
        <v>7</v>
      </c>
      <c r="I14" s="162" t="s">
        <v>10</v>
      </c>
      <c r="J14" s="162" t="s">
        <v>93</v>
      </c>
      <c r="K14" s="162" t="s">
        <v>105</v>
      </c>
      <c r="L14" s="162" t="s">
        <v>129</v>
      </c>
      <c r="M14" s="162" t="s">
        <v>131</v>
      </c>
      <c r="N14" s="162" t="s">
        <v>5</v>
      </c>
      <c r="O14" s="162" t="s">
        <v>6</v>
      </c>
      <c r="P14" s="162" t="s">
        <v>8</v>
      </c>
      <c r="Q14" s="162" t="s">
        <v>9</v>
      </c>
      <c r="R14" s="154" t="s">
        <v>75</v>
      </c>
    </row>
    <row r="15" spans="1:75">
      <c r="A15" t="s">
        <v>12</v>
      </c>
      <c r="C15" s="156">
        <f>+SUM(C8:C13)</f>
        <v>0.1</v>
      </c>
      <c r="D15" s="157">
        <f>+SUMPRODUCT(C8:C13,D8:D13)/C15</f>
        <v>1</v>
      </c>
      <c r="H15" s="166"/>
      <c r="I15" s="167"/>
      <c r="J15" s="172">
        <f>+SUMPRODUCT($C$8:$C$13,'Analisis Otros'!C6:C11)/Carga!$C$15</f>
        <v>2</v>
      </c>
      <c r="K15" s="172">
        <f>+SUMPRODUCT($C$8:$C$13,'Analisis Otros'!E6:E11)/Carga!$C$15</f>
        <v>0.10000000000000002</v>
      </c>
      <c r="L15" s="172">
        <f>+SUMPRODUCT($C$8:$C$13,'Analisis Otros'!B6:B11)/Carga!$C$15</f>
        <v>52.5</v>
      </c>
      <c r="M15" s="172">
        <f>+SUMPRODUCT($C$8:$C$13,'Analisis Otros'!D6:D11)/Carga!$C$15</f>
        <v>1.2</v>
      </c>
      <c r="N15" s="167"/>
      <c r="O15" s="167"/>
      <c r="P15" s="167"/>
      <c r="Q15" s="167"/>
      <c r="R15" s="168"/>
    </row>
    <row r="17" spans="1:32" ht="15.6">
      <c r="A17" s="158" t="s">
        <v>121</v>
      </c>
      <c r="E17" s="7" t="s">
        <v>3</v>
      </c>
      <c r="F17" s="7" t="s">
        <v>139</v>
      </c>
    </row>
    <row r="18" spans="1:32">
      <c r="AB18" t="s">
        <v>147</v>
      </c>
      <c r="AC18" t="s">
        <v>140</v>
      </c>
      <c r="AE18" t="s">
        <v>140</v>
      </c>
      <c r="AF18" t="s">
        <v>147</v>
      </c>
    </row>
    <row r="19" spans="1:32">
      <c r="A19" t="s">
        <v>140</v>
      </c>
      <c r="B19" s="134"/>
      <c r="C19" s="134"/>
      <c r="E19" s="776">
        <f>17.5/0.92+4/0.92</f>
        <v>23.369565217391305</v>
      </c>
      <c r="F19" s="741">
        <v>5</v>
      </c>
      <c r="H19" s="210"/>
      <c r="L19" s="210"/>
      <c r="M19" s="1241"/>
      <c r="Y19" s="153">
        <v>1</v>
      </c>
      <c r="Z19" s="160" t="s">
        <v>74</v>
      </c>
      <c r="AB19" s="169">
        <f>+E19*B20/(B20+C20)</f>
        <v>23.369565217391305</v>
      </c>
      <c r="AC19" s="777">
        <v>1</v>
      </c>
      <c r="AE19" s="152" t="str">
        <f t="shared" ref="AE19:AE31" si="0">+Z19</f>
        <v>Humos</v>
      </c>
      <c r="AF19" s="171">
        <f>+SUMIF($AC$19:$AC$34,1,$AB$19:$AB$34)</f>
        <v>31.369565217391305</v>
      </c>
    </row>
    <row r="20" spans="1:32">
      <c r="A20" t="s">
        <v>141</v>
      </c>
      <c r="B20" s="775">
        <v>1</v>
      </c>
      <c r="C20" s="775"/>
      <c r="Y20" s="159">
        <v>2</v>
      </c>
      <c r="Z20" s="161" t="s">
        <v>142</v>
      </c>
      <c r="AB20" s="170">
        <f>+E19*C20/(B20+C20)</f>
        <v>0</v>
      </c>
      <c r="AC20" s="778">
        <v>14</v>
      </c>
      <c r="AE20" s="135" t="str">
        <f t="shared" si="0"/>
        <v>D. Fe fino</v>
      </c>
      <c r="AF20" s="137">
        <f>+SUMIF($AC$19:$AC$34,2,$AB$19:$AB$34)</f>
        <v>2</v>
      </c>
    </row>
    <row r="21" spans="1:32">
      <c r="Y21" s="159">
        <v>3</v>
      </c>
      <c r="Z21" s="161" t="s">
        <v>143</v>
      </c>
      <c r="AB21" s="169">
        <f>+E22*B23/(B23+C23)</f>
        <v>0</v>
      </c>
      <c r="AC21" s="777">
        <v>5</v>
      </c>
      <c r="AE21" s="135" t="str">
        <f t="shared" si="0"/>
        <v>D. Fe zarand.</v>
      </c>
      <c r="AF21" s="137">
        <f>+SUMIF($AC$19:$AC$34,3,$AB$19:$AB$34)</f>
        <v>0</v>
      </c>
    </row>
    <row r="22" spans="1:32">
      <c r="A22" t="s">
        <v>140</v>
      </c>
      <c r="B22" s="134"/>
      <c r="C22" s="134"/>
      <c r="E22" s="776">
        <v>0</v>
      </c>
      <c r="F22" s="741">
        <v>0</v>
      </c>
      <c r="Y22" s="159">
        <v>4</v>
      </c>
      <c r="Z22" s="161" t="s">
        <v>95</v>
      </c>
      <c r="AB22" s="170">
        <f>+E22*C23/(B23+C23)</f>
        <v>0</v>
      </c>
      <c r="AC22" s="778">
        <v>14</v>
      </c>
      <c r="AE22" s="135" t="str">
        <f t="shared" si="0"/>
        <v>Oxidos</v>
      </c>
      <c r="AF22" s="137">
        <f>+SUMIF($AC$19:$AC$34,4,$AB$19:$AB$34)</f>
        <v>0</v>
      </c>
    </row>
    <row r="23" spans="1:32">
      <c r="A23" t="s">
        <v>141</v>
      </c>
      <c r="B23" s="775">
        <v>1</v>
      </c>
      <c r="C23" s="775"/>
      <c r="Y23" s="159">
        <v>5</v>
      </c>
      <c r="Z23" s="161" t="s">
        <v>144</v>
      </c>
      <c r="AB23" s="169">
        <f>+E25*B26/(B26+C26)</f>
        <v>0</v>
      </c>
      <c r="AC23" s="777">
        <v>8</v>
      </c>
      <c r="AE23" s="135" t="str">
        <f t="shared" si="0"/>
        <v>D. Cobre</v>
      </c>
      <c r="AF23" s="137">
        <f>+SUMIF($AC$19:$AC$34,5,$AB$19:$AB$34)</f>
        <v>0</v>
      </c>
    </row>
    <row r="24" spans="1:32">
      <c r="Y24" s="159">
        <v>6</v>
      </c>
      <c r="Z24" s="161" t="s">
        <v>145</v>
      </c>
      <c r="AB24" s="170">
        <f>+E25*C26/(B26+C26)</f>
        <v>0</v>
      </c>
      <c r="AC24" s="778">
        <v>14</v>
      </c>
      <c r="AE24" s="135" t="str">
        <f t="shared" si="0"/>
        <v>D. Soda</v>
      </c>
      <c r="AF24" s="137">
        <f>+SUMIF($AC$19:$AC$34,6,$AB$19:$AB$34)</f>
        <v>0</v>
      </c>
    </row>
    <row r="25" spans="1:32">
      <c r="A25" t="s">
        <v>140</v>
      </c>
      <c r="B25" s="134"/>
      <c r="C25" s="134"/>
      <c r="E25" s="776">
        <v>0</v>
      </c>
      <c r="F25" s="741">
        <v>0.5</v>
      </c>
      <c r="Y25" s="159">
        <v>7</v>
      </c>
      <c r="Z25" s="161" t="s">
        <v>124</v>
      </c>
      <c r="AB25" s="169">
        <f>+E28*B29/(B29+C29)</f>
        <v>0</v>
      </c>
      <c r="AC25" s="777">
        <v>5</v>
      </c>
      <c r="AE25" s="135" t="str">
        <f t="shared" si="0"/>
        <v>Escoria H.A.</v>
      </c>
      <c r="AF25" s="137">
        <f>+SUMIF($AC$19:$AC$34,7,$AB$19:$AB$34)</f>
        <v>0</v>
      </c>
    </row>
    <row r="26" spans="1:32">
      <c r="A26" t="s">
        <v>141</v>
      </c>
      <c r="B26" s="775">
        <v>1</v>
      </c>
      <c r="C26" s="775"/>
      <c r="Y26" s="159">
        <v>8</v>
      </c>
      <c r="Z26" s="161" t="s">
        <v>125</v>
      </c>
      <c r="AB26" s="170">
        <f>+E28*C29/(B29+C29)</f>
        <v>0</v>
      </c>
      <c r="AC26" s="778">
        <v>14</v>
      </c>
      <c r="AE26" s="135" t="str">
        <f t="shared" si="0"/>
        <v>Escoria H.R.</v>
      </c>
      <c r="AF26" s="137">
        <f>+SUMIF($AC$19:$AC$34,8,$AB$19:$AB$34)</f>
        <v>0</v>
      </c>
    </row>
    <row r="27" spans="1:32">
      <c r="Y27" s="159">
        <v>9</v>
      </c>
      <c r="Z27" s="161" t="s">
        <v>126</v>
      </c>
      <c r="AB27" s="169">
        <f>+E31*B32/(B32+C32)</f>
        <v>8</v>
      </c>
      <c r="AC27" s="777">
        <v>1</v>
      </c>
      <c r="AE27" s="135" t="str">
        <f t="shared" si="0"/>
        <v>Mineral Fe</v>
      </c>
      <c r="AF27" s="137">
        <f>+SUMIF($AC$19:$AC$34,9,$AB$19:$AB$34)</f>
        <v>1.5</v>
      </c>
    </row>
    <row r="28" spans="1:32">
      <c r="A28" t="s">
        <v>140</v>
      </c>
      <c r="B28" s="134"/>
      <c r="C28" s="134"/>
      <c r="E28" s="776">
        <v>0</v>
      </c>
      <c r="F28" s="741">
        <v>0</v>
      </c>
      <c r="Y28" s="159">
        <v>10</v>
      </c>
      <c r="Z28" s="161" t="s">
        <v>130</v>
      </c>
      <c r="AB28" s="170">
        <f>+E31*C32/(B32+C32)</f>
        <v>0</v>
      </c>
      <c r="AC28" s="778">
        <v>14</v>
      </c>
      <c r="AE28" s="135" t="str">
        <f t="shared" si="0"/>
        <v>Conc. Secundario</v>
      </c>
      <c r="AF28" s="137">
        <f>+SUMIF($AC$19:$AC$34,10,$AB$19:$AB$34)</f>
        <v>0</v>
      </c>
    </row>
    <row r="29" spans="1:32">
      <c r="A29" t="s">
        <v>141</v>
      </c>
      <c r="B29" s="748">
        <v>1</v>
      </c>
      <c r="C29" s="748"/>
      <c r="Y29" s="159">
        <v>11</v>
      </c>
      <c r="Z29" s="161" t="s">
        <v>616</v>
      </c>
      <c r="AB29" s="169">
        <f>+E34*B35/(B35+C35)</f>
        <v>2</v>
      </c>
      <c r="AC29" s="777">
        <v>2</v>
      </c>
      <c r="AE29" s="135" t="str">
        <f t="shared" si="0"/>
        <v>Conc. Cochas</v>
      </c>
      <c r="AF29" s="137">
        <f>+SUMIF($AC$19:$AC$34,11,$AB$19:$AB$34)</f>
        <v>0</v>
      </c>
    </row>
    <row r="30" spans="1:32">
      <c r="Y30" s="159">
        <v>12</v>
      </c>
      <c r="Z30" s="161" t="s">
        <v>149</v>
      </c>
      <c r="AB30" s="170">
        <f>+E34*C35/(B35+C35)</f>
        <v>0</v>
      </c>
      <c r="AC30" s="778">
        <v>14</v>
      </c>
      <c r="AE30" s="174" t="str">
        <f t="shared" si="0"/>
        <v>Arena Silice</v>
      </c>
      <c r="AF30" s="137">
        <f>+SUMIF($AC$19:$AC$34,12,$AB$19:$AB$34)</f>
        <v>0</v>
      </c>
    </row>
    <row r="31" spans="1:32">
      <c r="A31" t="s">
        <v>140</v>
      </c>
      <c r="B31" s="134"/>
      <c r="C31" s="134"/>
      <c r="E31" s="776">
        <v>8</v>
      </c>
      <c r="F31" s="741">
        <v>0.5</v>
      </c>
      <c r="I31" t="s">
        <v>761</v>
      </c>
      <c r="Y31" s="159">
        <v>13</v>
      </c>
      <c r="Z31" s="161" t="s">
        <v>103</v>
      </c>
      <c r="AB31" s="169">
        <f>+E37*B38/(B38+C38)</f>
        <v>1.5</v>
      </c>
      <c r="AC31" s="777">
        <v>9</v>
      </c>
      <c r="AE31" s="177" t="str">
        <f t="shared" si="0"/>
        <v>Otros</v>
      </c>
      <c r="AF31" s="138">
        <f>+SUMIF($AC$19:$AC$34,13,$AB$19:$AB$34)</f>
        <v>13.2</v>
      </c>
    </row>
    <row r="32" spans="1:32">
      <c r="A32" t="s">
        <v>141</v>
      </c>
      <c r="B32" s="748">
        <v>1</v>
      </c>
      <c r="C32" s="748"/>
      <c r="Y32" s="155">
        <v>14</v>
      </c>
      <c r="Z32" s="176"/>
      <c r="AB32" s="170">
        <f>+E37*C38/(B38+C38)</f>
        <v>0</v>
      </c>
      <c r="AC32" s="778">
        <v>14</v>
      </c>
    </row>
    <row r="33" spans="1:35">
      <c r="Y33" s="7"/>
      <c r="Z33" s="7"/>
      <c r="AB33" s="169">
        <f>+E40*B41/(B41+C41)</f>
        <v>13.2</v>
      </c>
      <c r="AC33" s="777">
        <v>13</v>
      </c>
    </row>
    <row r="34" spans="1:35">
      <c r="A34" t="s">
        <v>140</v>
      </c>
      <c r="B34" s="134"/>
      <c r="C34" s="134"/>
      <c r="E34" s="776">
        <v>2</v>
      </c>
      <c r="F34" s="741">
        <v>0.5</v>
      </c>
      <c r="Y34" s="7"/>
      <c r="Z34" s="7"/>
      <c r="AB34" s="170">
        <f>+E40*C41/(B41+C41)</f>
        <v>0</v>
      </c>
      <c r="AC34" s="778">
        <v>14</v>
      </c>
    </row>
    <row r="35" spans="1:35">
      <c r="A35" t="s">
        <v>141</v>
      </c>
      <c r="B35" s="748">
        <v>1</v>
      </c>
      <c r="C35" s="748"/>
    </row>
    <row r="37" spans="1:35">
      <c r="A37" t="s">
        <v>140</v>
      </c>
      <c r="B37" s="134"/>
      <c r="C37" s="134"/>
      <c r="E37" s="776">
        <v>1.5</v>
      </c>
      <c r="F37" s="741">
        <v>0</v>
      </c>
    </row>
    <row r="38" spans="1:35">
      <c r="A38" t="s">
        <v>141</v>
      </c>
      <c r="B38" s="748">
        <v>1</v>
      </c>
      <c r="C38" s="748"/>
    </row>
    <row r="40" spans="1:35">
      <c r="A40" t="s">
        <v>140</v>
      </c>
      <c r="B40" s="134"/>
      <c r="C40" s="134"/>
      <c r="E40" s="776">
        <v>13.2</v>
      </c>
      <c r="F40" s="741">
        <v>0</v>
      </c>
      <c r="H40" t="s">
        <v>755</v>
      </c>
    </row>
    <row r="41" spans="1:35">
      <c r="A41" t="s">
        <v>141</v>
      </c>
      <c r="B41" s="748">
        <v>1</v>
      </c>
      <c r="C41" s="748"/>
    </row>
    <row r="42" spans="1:35">
      <c r="H42" s="153" t="s">
        <v>7</v>
      </c>
      <c r="I42" s="162" t="s">
        <v>10</v>
      </c>
      <c r="J42" s="162" t="s">
        <v>93</v>
      </c>
      <c r="K42" s="162" t="s">
        <v>105</v>
      </c>
      <c r="L42" s="162" t="s">
        <v>129</v>
      </c>
      <c r="M42" s="162" t="s">
        <v>131</v>
      </c>
      <c r="N42" s="162" t="s">
        <v>5</v>
      </c>
      <c r="O42" s="162" t="s">
        <v>6</v>
      </c>
      <c r="P42" s="162" t="s">
        <v>8</v>
      </c>
      <c r="Q42" s="162" t="s">
        <v>9</v>
      </c>
      <c r="R42" s="154" t="s">
        <v>75</v>
      </c>
    </row>
    <row r="43" spans="1:35">
      <c r="A43" t="s">
        <v>12</v>
      </c>
      <c r="E43" s="156">
        <f>+SUM(E19:E40)</f>
        <v>48.0695652173913</v>
      </c>
      <c r="F43" s="157">
        <f>+SUMPRODUCT(E19:E40,F19:F40)/E43</f>
        <v>2.5348227206946459</v>
      </c>
      <c r="H43" s="156">
        <f>+SUMPRODUCT($AF$19:$AF$31,'Analisis Otros'!B18:B30)/Carga!$E$43</f>
        <v>46.921116814399426</v>
      </c>
      <c r="I43" s="172">
        <f>+SUMPRODUCT($AF$19:$AF$31,'Analisis Otros'!C18:C30)/Carga!$E$43</f>
        <v>2.9587818379160638</v>
      </c>
      <c r="J43" s="172">
        <f>+SUMPRODUCT($AF$19:$AF$31,'Analisis Otros'!D18:D30)/Carga!$E$43</f>
        <v>1.1933822358900146</v>
      </c>
      <c r="K43" s="172">
        <f>+SUMPRODUCT($AF$19:$AF$31,'Analisis Otros'!E18:E30)/Carga!$E$43</f>
        <v>0.496014471780029</v>
      </c>
      <c r="L43" s="172">
        <f>+SUMPRODUCT($AF$19:$AF$31,'Analisis Otros'!F18:F30)/Carga!$E$43</f>
        <v>23.39953129522431</v>
      </c>
      <c r="M43" s="172">
        <f>+SUMPRODUCT($AF$19:$AF$31,'Analisis Otros'!M18:M30)/Carga!$E$43</f>
        <v>0.24642785817655574</v>
      </c>
      <c r="N43" s="172">
        <f>+SUMPRODUCT($AF$19:$AF$31,'Analisis Otros'!G18:G30)/Carga!$E$43</f>
        <v>0.85488874819102767</v>
      </c>
      <c r="O43" s="163">
        <f>+SUMPRODUCT($AF$19:$AF$31,'Analisis Otros'!H18:H30)/Carga!$E$43</f>
        <v>5.8732814761215633E-2</v>
      </c>
      <c r="P43" s="163">
        <f>+SUMPRODUCT($AF$19:$AF$31,'Analisis Otros'!I18:I30)/Carga!$E$43</f>
        <v>2.252686324167873E-2</v>
      </c>
      <c r="Q43" s="163">
        <f>+SUMPRODUCT($AF$19:$AF$31,'Analisis Otros'!J18:J30)/Carga!$E$43</f>
        <v>0.59177157199710573</v>
      </c>
      <c r="R43" s="165">
        <f>+SUMPRODUCT($AF$19:$AF$31,'Analisis Otros'!K18:K30)/Carga!$E$43</f>
        <v>0.34709659913169322</v>
      </c>
    </row>
    <row r="45" spans="1:35" ht="15.6">
      <c r="A45" s="158" t="s">
        <v>160</v>
      </c>
      <c r="B45" s="1075" t="s">
        <v>233</v>
      </c>
      <c r="C45" s="1075" t="s">
        <v>234</v>
      </c>
      <c r="H45" s="365" t="s">
        <v>156</v>
      </c>
      <c r="I45" s="1076" t="s">
        <v>215</v>
      </c>
      <c r="J45" s="1076"/>
      <c r="K45" s="1076" t="s">
        <v>158</v>
      </c>
      <c r="L45" s="1076" t="s">
        <v>5</v>
      </c>
      <c r="M45" s="1077" t="s">
        <v>752</v>
      </c>
      <c r="O45" s="229" t="s">
        <v>113</v>
      </c>
      <c r="Y45" s="153">
        <v>1</v>
      </c>
      <c r="Z45" s="202" t="s">
        <v>621</v>
      </c>
      <c r="AA45" s="7">
        <f>+IF(Y45=$AB$45,1,0)</f>
        <v>0</v>
      </c>
      <c r="AB45" s="779">
        <v>2</v>
      </c>
      <c r="AC45" t="str">
        <f>+VLOOKUP(AB45,Y45:Z49,2,0)</f>
        <v>NACIONAL</v>
      </c>
      <c r="AE45" s="153">
        <v>1</v>
      </c>
      <c r="AF45" s="202" t="s">
        <v>621</v>
      </c>
      <c r="AG45" s="7">
        <f>+IF(AE45=$AH$45,1,0)</f>
        <v>0</v>
      </c>
      <c r="AH45" s="779">
        <v>2</v>
      </c>
      <c r="AI45" t="str">
        <f>+VLOOKUP(AH45,AE45:AF49,2,0)</f>
        <v>NACIONAL</v>
      </c>
    </row>
    <row r="46" spans="1:35">
      <c r="A46" t="s">
        <v>161</v>
      </c>
      <c r="G46" t="s">
        <v>233</v>
      </c>
      <c r="H46" s="156">
        <f>+SUMPRODUCT($AA$45:$AA$49,'Analisis Otros'!B35:B39)</f>
        <v>75</v>
      </c>
      <c r="I46" s="172">
        <f>+SUMPRODUCT($AA$45:$AA$49,'Analisis Otros'!C35:C39)</f>
        <v>4.4000000000000004</v>
      </c>
      <c r="J46" s="172">
        <f>+SUMPRODUCT($AA$45:$AA$49,'Analisis Otros'!D35:D39)</f>
        <v>2</v>
      </c>
      <c r="K46" s="172">
        <f>+SUMPRODUCT($AA$45:$AA$49,'Analisis Otros'!E35:E39)</f>
        <v>2</v>
      </c>
      <c r="L46" s="172">
        <f>+SUMPRODUCT($AA$45:$AA$49,'Analisis Otros'!F35:F39)</f>
        <v>1</v>
      </c>
      <c r="M46" s="889">
        <f>+SUMPRODUCT($AA$45:$AA$49,'Analisis Otros'!G35:G39)</f>
        <v>15.599999999999994</v>
      </c>
      <c r="N46" s="3"/>
      <c r="O46" s="157">
        <f>+SUMPRODUCT($AA$45:$AA$49,'Analisis Otros'!J35:J39)</f>
        <v>5</v>
      </c>
      <c r="Y46" s="159">
        <v>2</v>
      </c>
      <c r="Z46" s="184" t="s">
        <v>622</v>
      </c>
      <c r="AA46" s="7">
        <f>+IF(Y46=$AB$45,1,0)</f>
        <v>1</v>
      </c>
      <c r="AE46" s="159">
        <v>2</v>
      </c>
      <c r="AF46" s="184" t="s">
        <v>622</v>
      </c>
      <c r="AG46" s="7">
        <f>+IF(AE46=$AH$45,1,0)</f>
        <v>1</v>
      </c>
    </row>
    <row r="47" spans="1:35">
      <c r="G47" t="s">
        <v>625</v>
      </c>
      <c r="H47" s="216">
        <f>+SUMPRODUCT($AG$45:$AG$49,'Analisis Otros'!B35:B39)</f>
        <v>75</v>
      </c>
      <c r="I47" s="217">
        <f>+SUMPRODUCT($AG$45:$AG$49,'Analisis Otros'!C35:C39)</f>
        <v>4.4000000000000004</v>
      </c>
      <c r="J47" s="217">
        <f>+SUMPRODUCT($AG$45:$AG$49,'Analisis Otros'!D35:D39)</f>
        <v>2</v>
      </c>
      <c r="K47" s="217">
        <f>+SUMPRODUCT($AG$45:$AG$49,'Analisis Otros'!E35:E39)</f>
        <v>2</v>
      </c>
      <c r="L47" s="217">
        <f>+SUMPRODUCT($AG$45:$AG$49,'Analisis Otros'!F35:F39)</f>
        <v>1</v>
      </c>
      <c r="M47" s="218">
        <f>+SUMPRODUCT($AG$45:$AG$49,'Analisis Otros'!G35:G39)</f>
        <v>15.599999999999994</v>
      </c>
      <c r="N47" s="302"/>
      <c r="O47" s="312">
        <f>+SUMPRODUCT($AG$45:$AG$49,'Analisis Otros'!J35:J39)</f>
        <v>5</v>
      </c>
      <c r="Y47" s="159">
        <v>3</v>
      </c>
      <c r="Z47" s="184" t="s">
        <v>118</v>
      </c>
      <c r="AA47" s="7">
        <f>+IF(Y47=$AB$45,1,0)</f>
        <v>0</v>
      </c>
      <c r="AE47" s="159">
        <v>3</v>
      </c>
      <c r="AF47" s="184" t="s">
        <v>118</v>
      </c>
      <c r="AG47" s="7">
        <f>+IF(AE47=$AH$45,1,0)</f>
        <v>0</v>
      </c>
    </row>
    <row r="48" spans="1:35" ht="15.6">
      <c r="A48" s="158" t="s">
        <v>162</v>
      </c>
      <c r="N48" s="3"/>
      <c r="Y48" s="159">
        <v>4</v>
      </c>
      <c r="Z48" s="184"/>
      <c r="AA48" s="7">
        <f>+IF(Y48=$AB$45,1,0)</f>
        <v>0</v>
      </c>
      <c r="AE48" s="159">
        <v>4</v>
      </c>
      <c r="AF48" s="184"/>
      <c r="AG48" s="7">
        <f>+IF(AE48=$AH$45,1,0)</f>
        <v>0</v>
      </c>
    </row>
    <row r="49" spans="1:33">
      <c r="A49" t="s">
        <v>161</v>
      </c>
      <c r="H49" s="226" t="s">
        <v>156</v>
      </c>
      <c r="I49" s="227" t="s">
        <v>157</v>
      </c>
      <c r="J49" s="227" t="s">
        <v>111</v>
      </c>
      <c r="K49" s="227" t="s">
        <v>158</v>
      </c>
      <c r="L49" s="227" t="s">
        <v>5</v>
      </c>
      <c r="M49" s="228" t="s">
        <v>159</v>
      </c>
      <c r="O49" s="847" t="s">
        <v>370</v>
      </c>
      <c r="P49" s="847" t="s">
        <v>551</v>
      </c>
      <c r="Y49" s="155">
        <v>5</v>
      </c>
      <c r="Z49" s="185"/>
      <c r="AA49" s="7">
        <f>+IF(Y49=$AB$45,1,0)</f>
        <v>0</v>
      </c>
      <c r="AE49" s="155">
        <v>5</v>
      </c>
      <c r="AF49" s="185"/>
      <c r="AG49" s="7">
        <f>+IF(AE49=$AH$45,1,0)</f>
        <v>0</v>
      </c>
    </row>
    <row r="50" spans="1:33">
      <c r="G50" s="7" t="s">
        <v>550</v>
      </c>
      <c r="H50" s="216">
        <f>+IF($AB$51=1,'Analisis Otros'!K52,IF($AB$51=2,'Analisis Otros'!H48,'Analisis Otros'!B44))</f>
        <v>74.351860274720252</v>
      </c>
      <c r="I50" s="216">
        <f>+IF($AB$51=1,'Analisis Otros'!L52,IF($AB$51=2,'Analisis Otros'!I48,'Analisis Otros'!C44))</f>
        <v>23.583189302283266</v>
      </c>
      <c r="J50" s="216">
        <f>+IF($AB$51=1,'Analisis Otros'!M52,IF($AB$51=2,'Analisis Otros'!J48,'Analisis Otros'!D44))</f>
        <v>0.60038206131174376</v>
      </c>
      <c r="K50" s="216">
        <f>+IF($AB$51=1,'Analisis Otros'!N52,IF($AB$51=2,'Analisis Otros'!K48,'Analisis Otros'!E44))</f>
        <v>1.4645683616847083</v>
      </c>
      <c r="L50" s="216">
        <f>+IF($AB$51=1,0,IF($AB$51=2,0,'Analisis Otros'!F44))</f>
        <v>0</v>
      </c>
      <c r="M50" s="157">
        <f>+IF($AB$51=1,0,IF($AB$51=2,0,'Analisis Otros'!G44))</f>
        <v>0</v>
      </c>
      <c r="O50" s="317">
        <f>+IF($AB$51=1,'Analisis Otros'!P51,IF($AB$51=2,'Analisis Otros'!P47,'Analisis Otros'!K44))</f>
        <v>17.588800000000003</v>
      </c>
      <c r="P50" s="855">
        <f>+IF($AB$51=1,'Analisis Otros'!S51,IF($AB$51=2,'Analisis Otros'!M47,'Analisis Otros'!M44))</f>
        <v>10091.331517857143</v>
      </c>
    </row>
    <row r="51" spans="1:33">
      <c r="Y51" s="205">
        <v>1</v>
      </c>
      <c r="Z51" s="202" t="s">
        <v>557</v>
      </c>
      <c r="AA51" s="7"/>
      <c r="AB51" s="779">
        <v>2</v>
      </c>
    </row>
    <row r="52" spans="1:33">
      <c r="Y52" s="234">
        <v>2</v>
      </c>
      <c r="Z52" s="184" t="s">
        <v>164</v>
      </c>
      <c r="AA52" s="7"/>
    </row>
    <row r="53" spans="1:33" ht="13.8">
      <c r="A53" s="108" t="s">
        <v>703</v>
      </c>
      <c r="Y53" s="206">
        <v>3</v>
      </c>
      <c r="Z53" s="185" t="s">
        <v>699</v>
      </c>
    </row>
    <row r="54" spans="1:33">
      <c r="A54" s="825"/>
      <c r="B54" s="825"/>
    </row>
    <row r="55" spans="1:33">
      <c r="A55" s="825"/>
      <c r="B55" s="825"/>
      <c r="Y55" t="s">
        <v>702</v>
      </c>
    </row>
    <row r="56" spans="1:33">
      <c r="A56" s="825"/>
      <c r="B56" s="825"/>
      <c r="Y56" s="749">
        <v>1</v>
      </c>
    </row>
    <row r="57" spans="1:33">
      <c r="A57" s="825"/>
      <c r="B57" s="825"/>
    </row>
    <row r="58" spans="1:33">
      <c r="A58" s="825"/>
      <c r="B58" s="825"/>
    </row>
    <row r="59" spans="1:33">
      <c r="A59" s="825"/>
      <c r="B59" s="825"/>
    </row>
  </sheetData>
  <phoneticPr fontId="10" type="noConversion"/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locked="0" defaultSize="0" autoLine="0" autoPict="0">
                <anchor moveWithCells="1">
                  <from>
                    <xdr:col>1</xdr:col>
                    <xdr:colOff>0</xdr:colOff>
                    <xdr:row>17</xdr:row>
                    <xdr:rowOff>91440</xdr:rowOff>
                  </from>
                  <to>
                    <xdr:col>2</xdr:col>
                    <xdr:colOff>7620</xdr:colOff>
                    <xdr:row>18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locked="0" defaultSize="0" autoLine="0" autoPict="0">
                <anchor moveWithCells="1">
                  <from>
                    <xdr:col>2</xdr:col>
                    <xdr:colOff>7620</xdr:colOff>
                    <xdr:row>17</xdr:row>
                    <xdr:rowOff>99060</xdr:rowOff>
                  </from>
                  <to>
                    <xdr:col>3</xdr:col>
                    <xdr:colOff>15240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Drop Down 3">
              <controlPr locked="0" defaultSize="0" autoLine="0" autoPict="0">
                <anchor moveWithCells="1">
                  <from>
                    <xdr:col>0</xdr:col>
                    <xdr:colOff>708660</xdr:colOff>
                    <xdr:row>20</xdr:row>
                    <xdr:rowOff>91440</xdr:rowOff>
                  </from>
                  <to>
                    <xdr:col>2</xdr:col>
                    <xdr:colOff>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Drop Down 4">
              <controlPr locked="0" defaultSize="0" autoLine="0" autoPict="0">
                <anchor moveWithCells="1">
                  <from>
                    <xdr:col>2</xdr:col>
                    <xdr:colOff>0</xdr:colOff>
                    <xdr:row>26</xdr:row>
                    <xdr:rowOff>106680</xdr:rowOff>
                  </from>
                  <to>
                    <xdr:col>3</xdr:col>
                    <xdr:colOff>7620</xdr:colOff>
                    <xdr:row>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Drop Down 5">
              <controlPr locked="0" defaultSize="0" autoLine="0" autoPict="0">
                <anchor moveWithCells="1">
                  <from>
                    <xdr:col>2</xdr:col>
                    <xdr:colOff>7620</xdr:colOff>
                    <xdr:row>20</xdr:row>
                    <xdr:rowOff>91440</xdr:rowOff>
                  </from>
                  <to>
                    <xdr:col>3</xdr:col>
                    <xdr:colOff>15240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Drop Down 6">
              <controlPr locked="0" defaultSize="0" autoLine="0" autoPict="0">
                <anchor moveWithCells="1">
                  <from>
                    <xdr:col>1</xdr:col>
                    <xdr:colOff>0</xdr:colOff>
                    <xdr:row>23</xdr:row>
                    <xdr:rowOff>99060</xdr:rowOff>
                  </from>
                  <to>
                    <xdr:col>2</xdr:col>
                    <xdr:colOff>7620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Drop Down 7">
              <controlPr locked="0" defaultSize="0" autoLine="0" autoPict="0">
                <anchor moveWithCells="1">
                  <from>
                    <xdr:col>2</xdr:col>
                    <xdr:colOff>0</xdr:colOff>
                    <xdr:row>23</xdr:row>
                    <xdr:rowOff>99060</xdr:rowOff>
                  </from>
                  <to>
                    <xdr:col>3</xdr:col>
                    <xdr:colOff>7620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Drop Down 8">
              <controlPr locked="0" defaultSize="0" autoLine="0" autoPict="0">
                <anchor moveWithCells="1">
                  <from>
                    <xdr:col>0</xdr:col>
                    <xdr:colOff>708660</xdr:colOff>
                    <xdr:row>26</xdr:row>
                    <xdr:rowOff>91440</xdr:rowOff>
                  </from>
                  <to>
                    <xdr:col>2</xdr:col>
                    <xdr:colOff>0</xdr:colOff>
                    <xdr:row>27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Drop Down 9">
              <controlPr locked="0" defaultSize="0" autoLine="0" autoPict="0">
                <anchor moveWithCells="1">
                  <from>
                    <xdr:col>1</xdr:col>
                    <xdr:colOff>0</xdr:colOff>
                    <xdr:row>29</xdr:row>
                    <xdr:rowOff>91440</xdr:rowOff>
                  </from>
                  <to>
                    <xdr:col>2</xdr:col>
                    <xdr:colOff>7620</xdr:colOff>
                    <xdr:row>30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Drop Down 10">
              <controlPr locked="0" defaultSize="0" autoLine="0" autoPict="0">
                <anchor moveWithCells="1">
                  <from>
                    <xdr:col>2</xdr:col>
                    <xdr:colOff>0</xdr:colOff>
                    <xdr:row>29</xdr:row>
                    <xdr:rowOff>99060</xdr:rowOff>
                  </from>
                  <to>
                    <xdr:col>3</xdr:col>
                    <xdr:colOff>7620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Drop Down 11">
              <controlPr locked="0" defaultSize="0" autoLine="0" autoPict="0">
                <anchor moveWithCells="1">
                  <from>
                    <xdr:col>0</xdr:col>
                    <xdr:colOff>701040</xdr:colOff>
                    <xdr:row>32</xdr:row>
                    <xdr:rowOff>91440</xdr:rowOff>
                  </from>
                  <to>
                    <xdr:col>1</xdr:col>
                    <xdr:colOff>624840</xdr:colOff>
                    <xdr:row>33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Drop Down 12">
              <controlPr locked="0" defaultSize="0" autoLine="0" autoPict="0">
                <anchor moveWithCells="1">
                  <from>
                    <xdr:col>1</xdr:col>
                    <xdr:colOff>617220</xdr:colOff>
                    <xdr:row>32</xdr:row>
                    <xdr:rowOff>91440</xdr:rowOff>
                  </from>
                  <to>
                    <xdr:col>2</xdr:col>
                    <xdr:colOff>624840</xdr:colOff>
                    <xdr:row>33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Drop Down 13">
              <controlPr locked="0" defaultSize="0" autoLine="0" autoPict="0">
                <anchor moveWithCells="1">
                  <from>
                    <xdr:col>0</xdr:col>
                    <xdr:colOff>708660</xdr:colOff>
                    <xdr:row>38</xdr:row>
                    <xdr:rowOff>106680</xdr:rowOff>
                  </from>
                  <to>
                    <xdr:col>2</xdr:col>
                    <xdr:colOff>0</xdr:colOff>
                    <xdr:row>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Drop Down 14">
              <controlPr locked="0" defaultSize="0" autoLine="0" autoPict="0">
                <anchor moveWithCells="1">
                  <from>
                    <xdr:col>2</xdr:col>
                    <xdr:colOff>7620</xdr:colOff>
                    <xdr:row>35</xdr:row>
                    <xdr:rowOff>99060</xdr:rowOff>
                  </from>
                  <to>
                    <xdr:col>3</xdr:col>
                    <xdr:colOff>15240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Drop Down 15">
              <controlPr locked="0" defaultSize="0" autoLine="0" autoPict="0">
                <anchor moveWithCells="1">
                  <from>
                    <xdr:col>0</xdr:col>
                    <xdr:colOff>708660</xdr:colOff>
                    <xdr:row>35</xdr:row>
                    <xdr:rowOff>99060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Drop Down 16">
              <controlPr locked="0" defaultSize="0" autoLine="0" autoPict="0">
                <anchor moveWithCells="1">
                  <from>
                    <xdr:col>1</xdr:col>
                    <xdr:colOff>624840</xdr:colOff>
                    <xdr:row>38</xdr:row>
                    <xdr:rowOff>106680</xdr:rowOff>
                  </from>
                  <to>
                    <xdr:col>3</xdr:col>
                    <xdr:colOff>0</xdr:colOff>
                    <xdr:row>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0" name="Drop Down 19">
              <controlPr locked="0" defaultSize="0" autoLine="0" autoPict="0">
                <anchor moveWithCells="1">
                  <from>
                    <xdr:col>1</xdr:col>
                    <xdr:colOff>22860</xdr:colOff>
                    <xdr:row>44</xdr:row>
                    <xdr:rowOff>152400</xdr:rowOff>
                  </from>
                  <to>
                    <xdr:col>2</xdr:col>
                    <xdr:colOff>30480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1" name="Drop Down 20">
              <controlPr locked="0" defaultSize="0" autoLine="0" autoPict="0">
                <anchor moveWithCells="1">
                  <from>
                    <xdr:col>1</xdr:col>
                    <xdr:colOff>22860</xdr:colOff>
                    <xdr:row>48</xdr:row>
                    <xdr:rowOff>30480</xdr:rowOff>
                  </from>
                  <to>
                    <xdr:col>2</xdr:col>
                    <xdr:colOff>30480</xdr:colOff>
                    <xdr:row>49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2" name="Drop Down 22">
              <controlPr locked="0" defaultSize="0" autoLine="0" autoPict="0">
                <anchor moveWithCells="1">
                  <from>
                    <xdr:col>2</xdr:col>
                    <xdr:colOff>60960</xdr:colOff>
                    <xdr:row>45</xdr:row>
                    <xdr:rowOff>0</xdr:rowOff>
                  </from>
                  <to>
                    <xdr:col>3</xdr:col>
                    <xdr:colOff>68580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23" name="Group Box 32">
              <controlPr locked="0" defaultSize="0" autoFill="0" autoPict="0">
                <anchor moveWithCells="1" sizeWithCells="1">
                  <from>
                    <xdr:col>0</xdr:col>
                    <xdr:colOff>68580</xdr:colOff>
                    <xdr:row>54</xdr:row>
                    <xdr:rowOff>22860</xdr:rowOff>
                  </from>
                  <to>
                    <xdr:col>1</xdr:col>
                    <xdr:colOff>434340</xdr:colOff>
                    <xdr:row>57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24" name="Option Button 33">
              <controlPr locked="0" defaultSize="0" autoFill="0" autoLine="0" autoPict="0">
                <anchor moveWithCells="1" sizeWithCells="1">
                  <from>
                    <xdr:col>0</xdr:col>
                    <xdr:colOff>114300</xdr:colOff>
                    <xdr:row>54</xdr:row>
                    <xdr:rowOff>121920</xdr:rowOff>
                  </from>
                  <to>
                    <xdr:col>1</xdr:col>
                    <xdr:colOff>220980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5" name="Option Button 34">
              <controlPr locked="0" defaultSize="0" autoFill="0" autoLine="0" autoPict="0">
                <anchor moveWithCells="1" sizeWithCells="1">
                  <from>
                    <xdr:col>0</xdr:col>
                    <xdr:colOff>106680</xdr:colOff>
                    <xdr:row>56</xdr:row>
                    <xdr:rowOff>30480</xdr:rowOff>
                  </from>
                  <to>
                    <xdr:col>1</xdr:col>
                    <xdr:colOff>205740</xdr:colOff>
                    <xdr:row>57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803D2-9D91-42B0-A8B1-B257D291BA86}">
  <sheetPr codeName="Hoja12"/>
  <dimension ref="A1:Z53"/>
  <sheetViews>
    <sheetView zoomScale="80" zoomScaleNormal="80" workbookViewId="0">
      <selection activeCell="I58" sqref="I58"/>
    </sheetView>
  </sheetViews>
  <sheetFormatPr baseColWidth="10" defaultRowHeight="13.2"/>
  <sheetData>
    <row r="1" spans="1:9" ht="21">
      <c r="A1" s="1280" t="s">
        <v>626</v>
      </c>
      <c r="B1" s="1280"/>
      <c r="C1" s="1280"/>
      <c r="D1" s="1280"/>
      <c r="E1" s="1280"/>
      <c r="F1" s="1280"/>
      <c r="G1" s="1280"/>
      <c r="H1" s="1280"/>
      <c r="I1" s="1280"/>
    </row>
    <row r="3" spans="1:9" ht="15.6">
      <c r="D3" s="158" t="s">
        <v>627</v>
      </c>
      <c r="E3" s="1078"/>
    </row>
    <row r="4" spans="1:9" ht="15.6">
      <c r="D4" s="158" t="s">
        <v>628</v>
      </c>
      <c r="E4" s="1078"/>
    </row>
    <row r="5" spans="1:9" ht="18">
      <c r="D5" s="158" t="s">
        <v>629</v>
      </c>
      <c r="E5" s="1078"/>
    </row>
    <row r="6" spans="1:9">
      <c r="G6" t="s">
        <v>630</v>
      </c>
    </row>
    <row r="7" spans="1:9" ht="15.6">
      <c r="A7" t="s">
        <v>631</v>
      </c>
      <c r="D7" t="s">
        <v>632</v>
      </c>
      <c r="G7" t="s">
        <v>633</v>
      </c>
    </row>
    <row r="8" spans="1:9" ht="15.6">
      <c r="A8" t="s">
        <v>634</v>
      </c>
      <c r="D8" t="s">
        <v>632</v>
      </c>
      <c r="G8" t="s">
        <v>635</v>
      </c>
    </row>
    <row r="9" spans="1:9" ht="15.6">
      <c r="G9" t="s">
        <v>636</v>
      </c>
    </row>
    <row r="11" spans="1:9">
      <c r="A11" s="1079"/>
      <c r="B11" s="1079"/>
      <c r="C11" s="1079"/>
      <c r="D11" s="1079"/>
      <c r="E11" s="1079"/>
      <c r="F11" s="1079"/>
      <c r="G11" s="1079"/>
      <c r="H11" s="1079"/>
      <c r="I11" s="1079"/>
    </row>
    <row r="13" spans="1:9" ht="15.6">
      <c r="A13" t="s">
        <v>637</v>
      </c>
      <c r="D13" t="s">
        <v>638</v>
      </c>
      <c r="G13" t="s">
        <v>639</v>
      </c>
    </row>
    <row r="14" spans="1:9" ht="15.6">
      <c r="A14" t="s">
        <v>640</v>
      </c>
      <c r="D14" t="s">
        <v>641</v>
      </c>
      <c r="G14" t="s">
        <v>642</v>
      </c>
    </row>
    <row r="15" spans="1:9" ht="15.6">
      <c r="A15" t="s">
        <v>643</v>
      </c>
      <c r="D15" t="s">
        <v>644</v>
      </c>
      <c r="G15" t="s">
        <v>645</v>
      </c>
    </row>
    <row r="16" spans="1:9">
      <c r="A16" t="s">
        <v>646</v>
      </c>
      <c r="G16" t="s">
        <v>647</v>
      </c>
    </row>
    <row r="17" spans="1:26">
      <c r="A17" t="s">
        <v>648</v>
      </c>
      <c r="D17" t="s">
        <v>649</v>
      </c>
    </row>
    <row r="19" spans="1:26">
      <c r="A19" s="1079"/>
      <c r="B19" s="1079"/>
      <c r="C19" s="1079"/>
      <c r="D19" s="1079"/>
      <c r="E19" s="1079"/>
      <c r="F19" s="1079"/>
      <c r="G19" s="1079"/>
      <c r="H19" s="1079"/>
      <c r="I19" s="1079"/>
    </row>
    <row r="22" spans="1:26" ht="16.2" thickBot="1">
      <c r="A22" s="901" t="s">
        <v>496</v>
      </c>
      <c r="K22" s="152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102" t="s">
        <v>665</v>
      </c>
      <c r="Y22" s="1103" t="s">
        <v>666</v>
      </c>
      <c r="Z22" s="202"/>
    </row>
    <row r="23" spans="1:26" ht="16.8" thickBot="1">
      <c r="D23" s="1078"/>
      <c r="E23" s="1" t="s">
        <v>667</v>
      </c>
      <c r="F23" s="1" t="s">
        <v>212</v>
      </c>
      <c r="K23" s="135"/>
      <c r="L23" s="3"/>
      <c r="M23" s="1104" t="s">
        <v>651</v>
      </c>
      <c r="N23" s="3"/>
      <c r="O23" s="3"/>
      <c r="P23" s="3"/>
      <c r="Q23" s="3"/>
      <c r="R23" s="1105" t="s">
        <v>660</v>
      </c>
      <c r="S23" s="3"/>
      <c r="T23" s="3"/>
      <c r="U23" s="3"/>
      <c r="V23" s="3"/>
      <c r="W23" s="3"/>
      <c r="X23" s="1106">
        <f>+(S25+S26)*V25*(M24-M25)</f>
        <v>69666.727354674702</v>
      </c>
      <c r="Y23" s="1092">
        <f>+X23*24/1000000</f>
        <v>1.6720014565121928</v>
      </c>
      <c r="Z23" s="184"/>
    </row>
    <row r="24" spans="1:26" ht="16.2" thickBot="1">
      <c r="A24" s="220" t="s">
        <v>672</v>
      </c>
      <c r="B24" s="1080">
        <f>+Factores!C48</f>
        <v>45</v>
      </c>
      <c r="C24" s="175" t="s">
        <v>650</v>
      </c>
      <c r="D24" s="158" t="s">
        <v>668</v>
      </c>
      <c r="E24" s="1094">
        <f>+X23*252/1000000</f>
        <v>17.556015293378024</v>
      </c>
      <c r="F24" s="1110">
        <f>+E24/$E$27*100</f>
        <v>6.8586139385546918</v>
      </c>
      <c r="K24" s="1107" t="s">
        <v>652</v>
      </c>
      <c r="L24" s="1080">
        <v>0.89</v>
      </c>
      <c r="M24" s="1081">
        <f>+B24*9/5 +32</f>
        <v>113</v>
      </c>
      <c r="N24" s="1108" t="s">
        <v>653</v>
      </c>
      <c r="O24" s="1080">
        <v>4</v>
      </c>
      <c r="P24" s="1082">
        <f>+O24/0.3048</f>
        <v>13.123359580052492</v>
      </c>
      <c r="Q24" s="3" t="s">
        <v>654</v>
      </c>
      <c r="R24" s="3"/>
      <c r="S24" s="3"/>
      <c r="T24" s="3"/>
      <c r="U24" s="3"/>
      <c r="V24" s="3"/>
      <c r="W24" s="3"/>
      <c r="X24" s="1106">
        <f>+(S25+S26)*V26*(M24-M25)</f>
        <v>13397.447568206673</v>
      </c>
      <c r="Y24" s="1095">
        <f>+X24*24/1000000</f>
        <v>0.32153874163696017</v>
      </c>
      <c r="Z24" s="184"/>
    </row>
    <row r="25" spans="1:26" ht="16.8" thickBot="1">
      <c r="A25" s="220" t="s">
        <v>673</v>
      </c>
      <c r="B25" s="1113">
        <v>25</v>
      </c>
      <c r="C25" s="175" t="s">
        <v>650</v>
      </c>
      <c r="D25" s="158" t="s">
        <v>669</v>
      </c>
      <c r="E25" s="1096">
        <f>+X24*252/1000000</f>
        <v>3.3761567871880813</v>
      </c>
      <c r="F25" s="1110">
        <f>+E25/$E$27*100</f>
        <v>1.3189642189528252</v>
      </c>
      <c r="K25" s="1107" t="s">
        <v>655</v>
      </c>
      <c r="L25" s="1083">
        <v>0.95</v>
      </c>
      <c r="M25" s="1081">
        <f>+B25*9/5 +32</f>
        <v>77</v>
      </c>
      <c r="N25" s="1108" t="s">
        <v>656</v>
      </c>
      <c r="O25" s="1083">
        <v>7.8</v>
      </c>
      <c r="P25" s="1082">
        <f>+O25/0.3048</f>
        <v>25.590551181102359</v>
      </c>
      <c r="Q25" s="3" t="s">
        <v>654</v>
      </c>
      <c r="R25" s="1108" t="s">
        <v>661</v>
      </c>
      <c r="S25" s="1086">
        <f>0.29*(M24-M25)^0.25</f>
        <v>0.7103520254071215</v>
      </c>
      <c r="T25" s="3" t="s">
        <v>662</v>
      </c>
      <c r="U25" s="1108" t="s">
        <v>663</v>
      </c>
      <c r="V25" s="1087">
        <f>3.1416*P24*P25</f>
        <v>1055.05611011222</v>
      </c>
      <c r="W25" s="3" t="s">
        <v>659</v>
      </c>
      <c r="X25" s="1106">
        <f>L24*L26*P26*((M26+460)/100)^4</f>
        <v>932691.01962238108</v>
      </c>
      <c r="Y25" s="1097">
        <f>+X25*24/1000000</f>
        <v>22.384584470937149</v>
      </c>
      <c r="Z25" s="184"/>
    </row>
    <row r="26" spans="1:26" ht="16.8" thickBot="1">
      <c r="A26" s="220" t="s">
        <v>674</v>
      </c>
      <c r="B26" s="1084">
        <f>+Factores!C49</f>
        <v>985</v>
      </c>
      <c r="C26" s="175" t="s">
        <v>650</v>
      </c>
      <c r="D26" s="158" t="s">
        <v>670</v>
      </c>
      <c r="E26" s="1098">
        <f>+X25*252/1000000</f>
        <v>235.03813694484003</v>
      </c>
      <c r="F26" s="1110">
        <f>+E26/$E$27*100</f>
        <v>91.822421842492474</v>
      </c>
      <c r="K26" s="1107" t="s">
        <v>657</v>
      </c>
      <c r="L26" s="1084">
        <v>0.17299999999999999</v>
      </c>
      <c r="M26" s="1081">
        <f>+B26*9/5 +32</f>
        <v>1805</v>
      </c>
      <c r="N26" s="1108" t="s">
        <v>658</v>
      </c>
      <c r="O26" s="1085">
        <f>+(1.65^2)/4*3.1416</f>
        <v>2.1382514999999995</v>
      </c>
      <c r="P26" s="1085">
        <f>+O26/(0.3048^2)</f>
        <v>23.015947594395183</v>
      </c>
      <c r="Q26" s="3" t="s">
        <v>659</v>
      </c>
      <c r="R26" s="1108" t="s">
        <v>260</v>
      </c>
      <c r="S26" s="1088">
        <f>0.00692*L25*(((M24+M25)/2+460)/100)^3</f>
        <v>1.1238507742499999</v>
      </c>
      <c r="T26" s="3" t="s">
        <v>662</v>
      </c>
      <c r="U26" s="1108" t="s">
        <v>664</v>
      </c>
      <c r="V26" s="1089">
        <f>3.1416/4*1.5*(P24)^2</f>
        <v>202.89540579081154</v>
      </c>
      <c r="W26" s="3" t="s">
        <v>659</v>
      </c>
      <c r="X26" s="1106"/>
      <c r="Y26" s="1109"/>
      <c r="Z26" s="184"/>
    </row>
    <row r="27" spans="1:26" ht="18" thickBot="1">
      <c r="D27" s="274" t="s">
        <v>671</v>
      </c>
      <c r="E27" s="1101">
        <f>+SUM(E24:E26)</f>
        <v>255.97030902540615</v>
      </c>
      <c r="F27" s="1091">
        <f>+SUM(F24:F26)</f>
        <v>99.999999999999986</v>
      </c>
      <c r="K27" s="135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1106">
        <f>SUM(X23:X25)</f>
        <v>1015755.1945452625</v>
      </c>
      <c r="Y27" s="1100">
        <f>SUM(Y23:Y25)</f>
        <v>24.378124669086301</v>
      </c>
      <c r="Z27" s="184"/>
    </row>
    <row r="28" spans="1:26">
      <c r="K28" s="136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185"/>
    </row>
    <row r="30" spans="1:26" ht="16.2" thickBot="1">
      <c r="A30" s="901" t="s">
        <v>497</v>
      </c>
      <c r="K30" s="152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102" t="s">
        <v>665</v>
      </c>
      <c r="Y30" s="1103" t="s">
        <v>666</v>
      </c>
      <c r="Z30" s="202"/>
    </row>
    <row r="31" spans="1:26" ht="16.8" thickBot="1">
      <c r="D31" s="1078"/>
      <c r="E31" s="1" t="s">
        <v>667</v>
      </c>
      <c r="F31" s="1" t="s">
        <v>212</v>
      </c>
      <c r="K31" s="135"/>
      <c r="L31" s="3"/>
      <c r="M31" s="1104" t="s">
        <v>651</v>
      </c>
      <c r="N31" s="3"/>
      <c r="O31" s="3"/>
      <c r="P31" s="3"/>
      <c r="Q31" s="3"/>
      <c r="R31" s="1105" t="s">
        <v>660</v>
      </c>
      <c r="S31" s="3"/>
      <c r="T31" s="3"/>
      <c r="U31" s="3"/>
      <c r="V31" s="3"/>
      <c r="W31" s="3"/>
      <c r="X31" s="1106">
        <f>+(S33+S34)*V33*(M32-M33)</f>
        <v>90326.739152328155</v>
      </c>
      <c r="Y31" s="1092">
        <f>+X31*24/1000000</f>
        <v>2.1678417396558758</v>
      </c>
      <c r="Z31" s="184"/>
    </row>
    <row r="32" spans="1:26" ht="16.2" thickBot="1">
      <c r="A32" s="220" t="s">
        <v>672</v>
      </c>
      <c r="B32" s="1080">
        <f>+Factores!I48</f>
        <v>50</v>
      </c>
      <c r="C32" s="175" t="s">
        <v>650</v>
      </c>
      <c r="D32" s="158" t="s">
        <v>668</v>
      </c>
      <c r="E32" s="1094">
        <f>+X31*252/1000000</f>
        <v>22.762338266386696</v>
      </c>
      <c r="F32" s="1110">
        <f>+E32/$E$35*100</f>
        <v>5.5262785148920699</v>
      </c>
      <c r="K32" s="1107" t="s">
        <v>652</v>
      </c>
      <c r="L32" s="1080">
        <v>0.89</v>
      </c>
      <c r="M32" s="1081">
        <f>+B32*9/5 +32</f>
        <v>122</v>
      </c>
      <c r="N32" s="1108" t="s">
        <v>653</v>
      </c>
      <c r="O32" s="1080">
        <f>+O24</f>
        <v>4</v>
      </c>
      <c r="P32" s="1082">
        <f>+O32/0.3048</f>
        <v>13.123359580052492</v>
      </c>
      <c r="Q32" s="3" t="s">
        <v>654</v>
      </c>
      <c r="R32" s="3"/>
      <c r="S32" s="3"/>
      <c r="T32" s="3"/>
      <c r="U32" s="3"/>
      <c r="V32" s="3"/>
      <c r="W32" s="3"/>
      <c r="X32" s="1106">
        <f>+(S33+S34)*V34*(M32-M33)</f>
        <v>17370.526760063105</v>
      </c>
      <c r="Y32" s="1095">
        <f>+X32*24/1000000</f>
        <v>0.41689264224151451</v>
      </c>
      <c r="Z32" s="184"/>
    </row>
    <row r="33" spans="1:26" ht="16.8" thickBot="1">
      <c r="A33" s="220" t="s">
        <v>673</v>
      </c>
      <c r="B33" s="1113">
        <v>25</v>
      </c>
      <c r="C33" s="175" t="s">
        <v>650</v>
      </c>
      <c r="D33" s="158" t="s">
        <v>669</v>
      </c>
      <c r="E33" s="1096">
        <f>+X32*252/1000000</f>
        <v>4.3773727435359024</v>
      </c>
      <c r="F33" s="1110">
        <f>+E33/$E$35*100</f>
        <v>1.0627458682484747</v>
      </c>
      <c r="K33" s="1107" t="s">
        <v>655</v>
      </c>
      <c r="L33" s="1083">
        <v>0.95</v>
      </c>
      <c r="M33" s="1081">
        <f>+B33*9/5 +32</f>
        <v>77</v>
      </c>
      <c r="N33" s="1108" t="s">
        <v>656</v>
      </c>
      <c r="O33" s="1083">
        <f>+O25</f>
        <v>7.8</v>
      </c>
      <c r="P33" s="1082">
        <f>+O33/0.3048</f>
        <v>25.590551181102359</v>
      </c>
      <c r="Q33" s="3" t="s">
        <v>654</v>
      </c>
      <c r="R33" s="1108" t="s">
        <v>661</v>
      </c>
      <c r="S33" s="1086">
        <f>0.29*(M32-M33)^0.25</f>
        <v>0.75110581859229186</v>
      </c>
      <c r="T33" s="3" t="s">
        <v>662</v>
      </c>
      <c r="U33" s="1108" t="s">
        <v>663</v>
      </c>
      <c r="V33" s="1087">
        <f>3.1416*P32*P33</f>
        <v>1055.05611011222</v>
      </c>
      <c r="W33" s="3" t="s">
        <v>659</v>
      </c>
      <c r="X33" s="1106">
        <f>L32*L34*P34*((M34+460)/100)^4</f>
        <v>1526797.6099596452</v>
      </c>
      <c r="Y33" s="1097">
        <f>+X33*24/1000000</f>
        <v>36.643142639031488</v>
      </c>
      <c r="Z33" s="184"/>
    </row>
    <row r="34" spans="1:26" ht="16.8" thickBot="1">
      <c r="A34" s="220" t="s">
        <v>674</v>
      </c>
      <c r="B34" s="1084">
        <f>+Factores!I49</f>
        <v>1150</v>
      </c>
      <c r="C34" s="175" t="s">
        <v>650</v>
      </c>
      <c r="D34" s="158" t="s">
        <v>670</v>
      </c>
      <c r="E34" s="1098">
        <f>+X33*252/1000000</f>
        <v>384.75299770983059</v>
      </c>
      <c r="F34" s="1110">
        <f>+E34/$E$35*100</f>
        <v>93.410975616859446</v>
      </c>
      <c r="K34" s="1107" t="s">
        <v>657</v>
      </c>
      <c r="L34" s="1084">
        <v>0.17299999999999999</v>
      </c>
      <c r="M34" s="1081">
        <f>+B34*9/5 +32</f>
        <v>2102</v>
      </c>
      <c r="N34" s="1108" t="s">
        <v>658</v>
      </c>
      <c r="O34" s="1085">
        <f>+O26</f>
        <v>2.1382514999999995</v>
      </c>
      <c r="P34" s="1085">
        <f>+P26</f>
        <v>23.015947594395183</v>
      </c>
      <c r="Q34" s="3" t="s">
        <v>659</v>
      </c>
      <c r="R34" s="1108" t="s">
        <v>260</v>
      </c>
      <c r="S34" s="1088">
        <f>0.00692*L33*(((M32+M33)/2+460)/100)^3</f>
        <v>1.1514099346582498</v>
      </c>
      <c r="T34" s="3" t="s">
        <v>662</v>
      </c>
      <c r="U34" s="1108" t="s">
        <v>664</v>
      </c>
      <c r="V34" s="1089">
        <f>3.1416/4*1.5*(P32)^2</f>
        <v>202.89540579081154</v>
      </c>
      <c r="W34" s="3" t="s">
        <v>659</v>
      </c>
      <c r="X34" s="1106"/>
      <c r="Y34" s="1109"/>
      <c r="Z34" s="184"/>
    </row>
    <row r="35" spans="1:26" ht="18" thickBot="1">
      <c r="D35" s="274" t="s">
        <v>671</v>
      </c>
      <c r="E35" s="1101">
        <f>+SUM(E32:E34)</f>
        <v>411.89270871975322</v>
      </c>
      <c r="F35" s="1091">
        <f>+SUM(F32:F34)</f>
        <v>99.999999999999986</v>
      </c>
      <c r="K35" s="135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1106">
        <f>SUM(X31:X33)</f>
        <v>1634494.8758720364</v>
      </c>
      <c r="Y35" s="1100">
        <f>SUM(Y31:Y33)</f>
        <v>39.227877020928879</v>
      </c>
      <c r="Z35" s="184"/>
    </row>
    <row r="36" spans="1:26">
      <c r="K36" s="136"/>
      <c r="L36" s="182"/>
      <c r="M36" s="182"/>
      <c r="N36" s="182"/>
      <c r="O36" s="182"/>
      <c r="P36" s="182"/>
      <c r="Q36" s="182"/>
      <c r="R36" s="182"/>
      <c r="S36" s="182"/>
      <c r="T36" s="182"/>
      <c r="U36" s="182"/>
      <c r="V36" s="182"/>
      <c r="W36" s="182"/>
      <c r="X36" s="182"/>
      <c r="Y36" s="182"/>
      <c r="Z36" s="185"/>
    </row>
    <row r="37" spans="1:26" ht="15">
      <c r="F37" s="1090"/>
    </row>
    <row r="38" spans="1:26" ht="15">
      <c r="F38" s="1093"/>
    </row>
    <row r="39" spans="1:26" ht="15">
      <c r="A39" s="667" t="s">
        <v>675</v>
      </c>
      <c r="F39" s="1093"/>
    </row>
    <row r="40" spans="1:26" ht="15">
      <c r="B40" s="7" t="s">
        <v>676</v>
      </c>
      <c r="C40" s="7" t="s">
        <v>677</v>
      </c>
      <c r="F40" s="1093"/>
    </row>
    <row r="41" spans="1:26" ht="15">
      <c r="A41" t="s">
        <v>678</v>
      </c>
      <c r="B41" s="262">
        <f>1.5*2</f>
        <v>3</v>
      </c>
      <c r="C41" s="262">
        <f>1.1*2</f>
        <v>2.2000000000000002</v>
      </c>
      <c r="D41" t="s">
        <v>294</v>
      </c>
      <c r="F41" s="1099"/>
    </row>
    <row r="42" spans="1:26" ht="15">
      <c r="A42" t="s">
        <v>157</v>
      </c>
      <c r="B42" s="262">
        <f>2.27*0.9</f>
        <v>2.0430000000000001</v>
      </c>
      <c r="C42" s="262">
        <f>2.37*0.9</f>
        <v>2.133</v>
      </c>
      <c r="D42" t="s">
        <v>294</v>
      </c>
      <c r="F42" s="1093"/>
    </row>
    <row r="43" spans="1:26">
      <c r="A43" t="s">
        <v>679</v>
      </c>
      <c r="B43" s="262">
        <v>90</v>
      </c>
      <c r="C43" s="262">
        <v>90</v>
      </c>
      <c r="D43" t="s">
        <v>212</v>
      </c>
    </row>
    <row r="44" spans="1:26" ht="13.8" thickBot="1"/>
    <row r="45" spans="1:26" ht="16.2" thickBot="1">
      <c r="A45" t="s">
        <v>686</v>
      </c>
      <c r="B45" s="262">
        <f>+(B41^2)/4*3.1416*B42*B43/100</f>
        <v>12.997034820000001</v>
      </c>
      <c r="C45" s="262">
        <f>+(C41^2)/4*3.1416*C42*C43/100</f>
        <v>7.2974247192000004</v>
      </c>
      <c r="D45" s="1111">
        <f>+C45+B45</f>
        <v>20.294459539200002</v>
      </c>
      <c r="E45" t="s">
        <v>237</v>
      </c>
    </row>
    <row r="47" spans="1:26" ht="13.8" thickBot="1">
      <c r="A47" t="s">
        <v>680</v>
      </c>
      <c r="C47" s="190">
        <v>3.4</v>
      </c>
      <c r="D47" t="s">
        <v>534</v>
      </c>
    </row>
    <row r="48" spans="1:26" ht="16.2" thickBot="1">
      <c r="A48" t="s">
        <v>681</v>
      </c>
      <c r="C48" s="1111">
        <f>+D45/C47*60</f>
        <v>358.13752128000004</v>
      </c>
      <c r="D48" t="s">
        <v>236</v>
      </c>
    </row>
    <row r="50" spans="1:4">
      <c r="A50" t="s">
        <v>682</v>
      </c>
      <c r="C50">
        <v>24</v>
      </c>
      <c r="D50" t="s">
        <v>683</v>
      </c>
    </row>
    <row r="51" spans="1:4">
      <c r="A51" t="s">
        <v>684</v>
      </c>
      <c r="C51">
        <v>30</v>
      </c>
      <c r="D51" t="s">
        <v>683</v>
      </c>
    </row>
    <row r="52" spans="1:4" ht="13.8" thickBot="1"/>
    <row r="53" spans="1:4" ht="16.2" thickBot="1">
      <c r="A53" t="s">
        <v>685</v>
      </c>
      <c r="C53" s="1112">
        <f>+(C51-C50)*C48</f>
        <v>2148.8251276800002</v>
      </c>
      <c r="D53" t="s">
        <v>667</v>
      </c>
    </row>
  </sheetData>
  <mergeCells count="1">
    <mergeCell ref="A1:I1"/>
  </mergeCells>
  <phoneticPr fontId="10" type="noConversion"/>
  <pageMargins left="0.75" right="0.75" top="1" bottom="1" header="0" footer="0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9CF1F-5867-41DB-BDE3-74104ABFE905}">
  <sheetPr codeName="Hoja3"/>
  <dimension ref="A2:AJ75"/>
  <sheetViews>
    <sheetView zoomScale="82" zoomScaleNormal="82" workbookViewId="0">
      <selection activeCell="G13" sqref="G13"/>
    </sheetView>
  </sheetViews>
  <sheetFormatPr baseColWidth="10" defaultRowHeight="13.2"/>
  <cols>
    <col min="1" max="1" width="16" customWidth="1"/>
    <col min="34" max="34" width="12.33203125" bestFit="1" customWidth="1"/>
  </cols>
  <sheetData>
    <row r="2" spans="1:36" ht="17.399999999999999">
      <c r="A2" s="664" t="s">
        <v>120</v>
      </c>
      <c r="O2" t="s">
        <v>536</v>
      </c>
    </row>
    <row r="4" spans="1:36">
      <c r="B4" s="1276" t="s">
        <v>119</v>
      </c>
      <c r="C4" s="1277"/>
      <c r="D4" s="1277"/>
      <c r="E4" s="1277"/>
      <c r="F4" s="1278"/>
      <c r="H4" s="1276" t="s">
        <v>107</v>
      </c>
      <c r="I4" s="1277"/>
      <c r="J4" s="1277"/>
      <c r="K4" s="1277"/>
      <c r="L4" s="1277"/>
      <c r="M4" s="1278"/>
    </row>
    <row r="5" spans="1:36">
      <c r="A5" s="114"/>
      <c r="B5" s="115" t="s">
        <v>96</v>
      </c>
      <c r="C5" s="115" t="s">
        <v>97</v>
      </c>
      <c r="D5" s="115" t="s">
        <v>98</v>
      </c>
      <c r="E5" s="115" t="s">
        <v>94</v>
      </c>
      <c r="F5" s="115" t="s">
        <v>223</v>
      </c>
      <c r="H5" s="116" t="s">
        <v>114</v>
      </c>
      <c r="I5" s="117" t="s">
        <v>115</v>
      </c>
      <c r="J5" s="117" t="s">
        <v>93</v>
      </c>
      <c r="K5" s="117" t="s">
        <v>105</v>
      </c>
      <c r="L5" s="223" t="s">
        <v>132</v>
      </c>
      <c r="M5" s="118" t="s">
        <v>103</v>
      </c>
    </row>
    <row r="6" spans="1:36">
      <c r="A6" s="119" t="s">
        <v>99</v>
      </c>
      <c r="B6" s="709">
        <v>52.5</v>
      </c>
      <c r="C6" s="709">
        <v>2</v>
      </c>
      <c r="D6" s="709">
        <v>1.2</v>
      </c>
      <c r="E6" s="709">
        <v>0.1</v>
      </c>
      <c r="F6" s="709">
        <v>0.1</v>
      </c>
      <c r="H6" s="123">
        <f t="shared" ref="H6:H11" si="0">+B6*100/56</f>
        <v>93.75</v>
      </c>
      <c r="I6" s="124">
        <f t="shared" ref="I6:I11" si="1">+D6*84.3/40.3</f>
        <v>2.5101736972704716</v>
      </c>
      <c r="J6" s="124">
        <f t="shared" ref="J6:J11" si="2">+C6</f>
        <v>2</v>
      </c>
      <c r="K6" s="124">
        <f t="shared" ref="K6:K11" si="3">+E6</f>
        <v>0.1</v>
      </c>
      <c r="L6" s="124">
        <f t="shared" ref="L6:L11" si="4">+F6*(55.85*2+16*3)/(2*55.85)</f>
        <v>0.14297224709042075</v>
      </c>
      <c r="M6" s="125">
        <f t="shared" ref="M6:M11" si="5">100-SUM(H6:L6)</f>
        <v>1.4968540556391048</v>
      </c>
    </row>
    <row r="7" spans="1:36">
      <c r="A7" s="120" t="s">
        <v>100</v>
      </c>
      <c r="B7" s="710">
        <v>35.200000000000003</v>
      </c>
      <c r="C7" s="710">
        <v>3.8</v>
      </c>
      <c r="D7" s="710">
        <v>15.55</v>
      </c>
      <c r="E7" s="710">
        <v>0.1</v>
      </c>
      <c r="F7" s="710">
        <v>0.48</v>
      </c>
      <c r="H7" s="126">
        <f t="shared" si="0"/>
        <v>62.857142857142868</v>
      </c>
      <c r="I7" s="127">
        <f t="shared" si="1"/>
        <v>32.527667493796528</v>
      </c>
      <c r="J7" s="127">
        <f t="shared" si="2"/>
        <v>3.8</v>
      </c>
      <c r="K7" s="127">
        <f t="shared" si="3"/>
        <v>0.1</v>
      </c>
      <c r="L7" s="127">
        <f t="shared" si="4"/>
        <v>0.68626678603401958</v>
      </c>
      <c r="M7" s="128">
        <f t="shared" si="5"/>
        <v>2.8922863026579648E-2</v>
      </c>
    </row>
    <row r="8" spans="1:36">
      <c r="A8" s="120" t="s">
        <v>117</v>
      </c>
      <c r="B8" s="710">
        <v>52.5</v>
      </c>
      <c r="C8" s="710">
        <v>1.94</v>
      </c>
      <c r="D8" s="710">
        <v>1.2</v>
      </c>
      <c r="E8" s="710">
        <v>0.1</v>
      </c>
      <c r="F8" s="710">
        <v>0.1</v>
      </c>
      <c r="H8" s="126">
        <f t="shared" si="0"/>
        <v>93.75</v>
      </c>
      <c r="I8" s="127">
        <f t="shared" si="1"/>
        <v>2.5101736972704716</v>
      </c>
      <c r="J8" s="127">
        <f t="shared" si="2"/>
        <v>1.94</v>
      </c>
      <c r="K8" s="127">
        <f t="shared" si="3"/>
        <v>0.1</v>
      </c>
      <c r="L8" s="127">
        <f t="shared" si="4"/>
        <v>0.14297224709042075</v>
      </c>
      <c r="M8" s="128">
        <f t="shared" si="5"/>
        <v>1.5568540556391071</v>
      </c>
    </row>
    <row r="9" spans="1:36">
      <c r="A9" s="120" t="s">
        <v>102</v>
      </c>
      <c r="B9" s="710">
        <v>53.5</v>
      </c>
      <c r="C9" s="710">
        <v>1.5</v>
      </c>
      <c r="D9" s="710">
        <v>1</v>
      </c>
      <c r="E9" s="710">
        <v>0.1</v>
      </c>
      <c r="F9" s="710">
        <v>0.1</v>
      </c>
      <c r="H9" s="126">
        <f t="shared" si="0"/>
        <v>95.535714285714292</v>
      </c>
      <c r="I9" s="127">
        <f t="shared" si="1"/>
        <v>2.0918114143920596</v>
      </c>
      <c r="J9" s="127">
        <f t="shared" si="2"/>
        <v>1.5</v>
      </c>
      <c r="K9" s="127">
        <f t="shared" si="3"/>
        <v>0.1</v>
      </c>
      <c r="L9" s="127">
        <f t="shared" si="4"/>
        <v>0.14297224709042075</v>
      </c>
      <c r="M9" s="128">
        <f t="shared" si="5"/>
        <v>0.62950205280323246</v>
      </c>
    </row>
    <row r="10" spans="1:36">
      <c r="A10" s="120" t="s">
        <v>101</v>
      </c>
      <c r="B10" s="710"/>
      <c r="C10" s="710"/>
      <c r="D10" s="710"/>
      <c r="E10" s="710"/>
      <c r="F10" s="710"/>
      <c r="H10" s="126">
        <f t="shared" si="0"/>
        <v>0</v>
      </c>
      <c r="I10" s="127">
        <f t="shared" si="1"/>
        <v>0</v>
      </c>
      <c r="J10" s="127">
        <f t="shared" si="2"/>
        <v>0</v>
      </c>
      <c r="K10" s="127">
        <f t="shared" si="3"/>
        <v>0</v>
      </c>
      <c r="L10" s="127">
        <f t="shared" si="4"/>
        <v>0</v>
      </c>
      <c r="M10" s="128">
        <f t="shared" si="5"/>
        <v>100</v>
      </c>
    </row>
    <row r="11" spans="1:36">
      <c r="A11" s="121" t="s">
        <v>118</v>
      </c>
      <c r="B11" s="711">
        <v>54</v>
      </c>
      <c r="C11" s="711">
        <v>0.5</v>
      </c>
      <c r="D11" s="711"/>
      <c r="E11" s="711"/>
      <c r="F11" s="711"/>
      <c r="H11" s="129">
        <f t="shared" si="0"/>
        <v>96.428571428571431</v>
      </c>
      <c r="I11" s="130">
        <f t="shared" si="1"/>
        <v>0</v>
      </c>
      <c r="J11" s="130">
        <f t="shared" si="2"/>
        <v>0.5</v>
      </c>
      <c r="K11" s="130">
        <f t="shared" si="3"/>
        <v>0</v>
      </c>
      <c r="L11" s="130">
        <f t="shared" si="4"/>
        <v>0</v>
      </c>
      <c r="M11" s="131">
        <f t="shared" si="5"/>
        <v>3.0714285714285694</v>
      </c>
    </row>
    <row r="14" spans="1:36" ht="17.399999999999999">
      <c r="A14" s="664" t="s">
        <v>121</v>
      </c>
    </row>
    <row r="15" spans="1:36" ht="13.8">
      <c r="A15" s="122"/>
    </row>
    <row r="16" spans="1:36">
      <c r="B16" s="1276" t="s">
        <v>119</v>
      </c>
      <c r="C16" s="1277"/>
      <c r="D16" s="1277"/>
      <c r="E16" s="1277"/>
      <c r="F16" s="1277"/>
      <c r="G16" s="1277"/>
      <c r="H16" s="1277"/>
      <c r="I16" s="1277"/>
      <c r="J16" s="1277"/>
      <c r="K16" s="1277"/>
      <c r="L16" s="1277"/>
      <c r="M16" s="1277"/>
      <c r="N16" s="1278"/>
      <c r="P16" s="1276" t="s">
        <v>107</v>
      </c>
      <c r="Q16" s="1277"/>
      <c r="R16" s="1277"/>
      <c r="S16" s="1277"/>
      <c r="T16" s="1277"/>
      <c r="U16" s="1277"/>
      <c r="V16" s="1277"/>
      <c r="W16" s="1277"/>
      <c r="X16" s="1277"/>
      <c r="Y16" s="1277"/>
      <c r="Z16" s="1277"/>
      <c r="AA16" s="1277"/>
      <c r="AB16" s="1277"/>
      <c r="AC16" s="1277"/>
      <c r="AD16" s="1277"/>
      <c r="AE16" s="1277"/>
      <c r="AF16" s="1277"/>
      <c r="AG16" s="1277"/>
      <c r="AH16" s="1277"/>
      <c r="AI16" s="1277"/>
      <c r="AJ16" s="1278"/>
    </row>
    <row r="17" spans="1:36">
      <c r="A17" s="148"/>
      <c r="B17" s="149" t="s">
        <v>7</v>
      </c>
      <c r="C17" s="149" t="s">
        <v>10</v>
      </c>
      <c r="D17" s="149" t="s">
        <v>93</v>
      </c>
      <c r="E17" s="149" t="s">
        <v>105</v>
      </c>
      <c r="F17" s="149" t="s">
        <v>129</v>
      </c>
      <c r="G17" s="149" t="s">
        <v>5</v>
      </c>
      <c r="H17" s="149" t="s">
        <v>6</v>
      </c>
      <c r="I17" s="149" t="s">
        <v>8</v>
      </c>
      <c r="J17" s="149" t="s">
        <v>9</v>
      </c>
      <c r="K17" s="149" t="s">
        <v>75</v>
      </c>
      <c r="L17" s="149" t="s">
        <v>538</v>
      </c>
      <c r="M17" s="149" t="s">
        <v>131</v>
      </c>
      <c r="N17" s="150" t="s">
        <v>146</v>
      </c>
      <c r="P17" s="191" t="s">
        <v>7</v>
      </c>
      <c r="Q17" s="151" t="s">
        <v>104</v>
      </c>
      <c r="R17" s="151" t="s">
        <v>136</v>
      </c>
      <c r="S17" s="151" t="s">
        <v>133</v>
      </c>
      <c r="T17" s="151" t="s">
        <v>208</v>
      </c>
      <c r="U17" s="151" t="s">
        <v>132</v>
      </c>
      <c r="V17" s="151" t="s">
        <v>134</v>
      </c>
      <c r="W17" s="151" t="s">
        <v>106</v>
      </c>
      <c r="X17" s="151" t="s">
        <v>10</v>
      </c>
      <c r="Y17" s="151" t="s">
        <v>93</v>
      </c>
      <c r="Z17" s="151" t="s">
        <v>105</v>
      </c>
      <c r="AA17" s="151" t="s">
        <v>129</v>
      </c>
      <c r="AB17" s="151" t="s">
        <v>131</v>
      </c>
      <c r="AC17" s="151" t="s">
        <v>135</v>
      </c>
      <c r="AD17" s="151" t="s">
        <v>6</v>
      </c>
      <c r="AE17" s="151" t="s">
        <v>8</v>
      </c>
      <c r="AF17" s="192" t="s">
        <v>9</v>
      </c>
      <c r="AG17" s="151" t="s">
        <v>75</v>
      </c>
      <c r="AH17" s="151" t="s">
        <v>538</v>
      </c>
      <c r="AI17" s="192" t="s">
        <v>146</v>
      </c>
      <c r="AJ17" s="151" t="s">
        <v>103</v>
      </c>
    </row>
    <row r="18" spans="1:36">
      <c r="A18" s="100" t="s">
        <v>74</v>
      </c>
      <c r="B18" s="712">
        <v>67.740099999999998</v>
      </c>
      <c r="C18" s="712">
        <v>0.23799999999999999</v>
      </c>
      <c r="D18" s="712">
        <v>1</v>
      </c>
      <c r="E18" s="712"/>
      <c r="F18" s="712">
        <v>0.01</v>
      </c>
      <c r="G18" s="712">
        <v>1.31</v>
      </c>
      <c r="H18" s="712">
        <v>0.09</v>
      </c>
      <c r="I18" s="712">
        <v>2.18E-2</v>
      </c>
      <c r="J18" s="712">
        <v>0.6643</v>
      </c>
      <c r="K18" s="713">
        <v>0.5</v>
      </c>
      <c r="L18" s="712"/>
      <c r="M18" s="712"/>
      <c r="N18" s="714"/>
      <c r="P18" s="193"/>
      <c r="Q18" s="194">
        <f>+(B18-S18*118.7/150.7)*(118.7+32)/118.7</f>
        <v>79.83268227148271</v>
      </c>
      <c r="R18" s="195"/>
      <c r="S18" s="194">
        <f>+G18*(118.7+32)/32</f>
        <v>6.16928125</v>
      </c>
      <c r="T18" s="195"/>
      <c r="U18" s="194">
        <f>+C18*(55.85*2+16*3)/(55.85*2)</f>
        <v>0.34027394807520139</v>
      </c>
      <c r="V18" s="195"/>
      <c r="W18" s="195"/>
      <c r="X18" s="195"/>
      <c r="Y18" s="194">
        <f>+D18</f>
        <v>1</v>
      </c>
      <c r="Z18" s="194">
        <f t="shared" ref="Z18:Z23" si="6">+E18</f>
        <v>0</v>
      </c>
      <c r="AA18" s="194">
        <f t="shared" ref="AA18:AA23" si="7">+F18</f>
        <v>0.01</v>
      </c>
      <c r="AB18" s="195"/>
      <c r="AC18" s="195"/>
      <c r="AD18" s="194">
        <f t="shared" ref="AD18:AF22" si="8">+H18</f>
        <v>0.09</v>
      </c>
      <c r="AE18" s="194">
        <f t="shared" si="8"/>
        <v>2.18E-2</v>
      </c>
      <c r="AF18" s="196">
        <f t="shared" si="8"/>
        <v>0.6643</v>
      </c>
      <c r="AG18" s="194">
        <f>+K18</f>
        <v>0.5</v>
      </c>
      <c r="AH18" s="179"/>
      <c r="AI18" s="179"/>
      <c r="AJ18" s="197">
        <f t="shared" ref="AJ18:AJ23" si="9">100-SUM(P18:AI18)</f>
        <v>11.37166253044208</v>
      </c>
    </row>
    <row r="19" spans="1:36">
      <c r="A19" s="100" t="s">
        <v>128</v>
      </c>
      <c r="B19" s="712">
        <v>65.250100000000003</v>
      </c>
      <c r="C19" s="712">
        <v>21.105699999999999</v>
      </c>
      <c r="D19" s="712">
        <v>2.5428999999999999</v>
      </c>
      <c r="E19" s="712">
        <v>3.3119000000000001</v>
      </c>
      <c r="F19" s="712">
        <v>0.5</v>
      </c>
      <c r="G19" s="712"/>
      <c r="H19" s="712"/>
      <c r="I19" s="712">
        <v>0.19950000000000001</v>
      </c>
      <c r="J19" s="713">
        <v>3.8037000000000001</v>
      </c>
      <c r="K19" s="713">
        <v>0.5</v>
      </c>
      <c r="L19" s="712"/>
      <c r="M19" s="712"/>
      <c r="N19" s="714"/>
      <c r="P19" s="143">
        <f>+B19-T19*118.7*2/(118.7*2+55.85)-Q19*118.7/(118.7+32)</f>
        <v>-36.278160208077011</v>
      </c>
      <c r="Q19" s="727">
        <v>15</v>
      </c>
      <c r="R19" s="141"/>
      <c r="S19" s="141"/>
      <c r="T19" s="140">
        <f>+C19*(118.7*2+55.85)/55.85</f>
        <v>110.81909623992837</v>
      </c>
      <c r="U19" s="141"/>
      <c r="V19" s="141"/>
      <c r="W19" s="141"/>
      <c r="X19" s="141"/>
      <c r="Y19" s="140">
        <f>+D19</f>
        <v>2.5428999999999999</v>
      </c>
      <c r="Z19" s="140">
        <f t="shared" si="6"/>
        <v>3.3119000000000001</v>
      </c>
      <c r="AA19" s="140">
        <f t="shared" si="7"/>
        <v>0.5</v>
      </c>
      <c r="AB19" s="141"/>
      <c r="AC19" s="141"/>
      <c r="AD19" s="140">
        <f t="shared" si="8"/>
        <v>0</v>
      </c>
      <c r="AE19" s="140">
        <f t="shared" si="8"/>
        <v>0.19950000000000001</v>
      </c>
      <c r="AF19" s="142">
        <f t="shared" si="8"/>
        <v>3.8037000000000001</v>
      </c>
      <c r="AG19" s="140">
        <f>+K19</f>
        <v>0.5</v>
      </c>
      <c r="AH19" s="3"/>
      <c r="AI19" s="3"/>
      <c r="AJ19" s="198">
        <f t="shared" si="9"/>
        <v>-0.39893603185136328</v>
      </c>
    </row>
    <row r="20" spans="1:36">
      <c r="A20" s="100" t="s">
        <v>127</v>
      </c>
      <c r="B20" s="712">
        <v>63.704900000000002</v>
      </c>
      <c r="C20" s="712">
        <v>16.2697</v>
      </c>
      <c r="D20" s="712">
        <v>3.7464</v>
      </c>
      <c r="E20" s="712">
        <v>5.2697000000000003</v>
      </c>
      <c r="F20" s="712">
        <v>0.5</v>
      </c>
      <c r="G20" s="712"/>
      <c r="H20" s="712"/>
      <c r="I20" s="712">
        <v>0.27379999999999999</v>
      </c>
      <c r="J20" s="713">
        <v>4.8777999999999997</v>
      </c>
      <c r="K20" s="713">
        <v>0.5</v>
      </c>
      <c r="L20" s="712"/>
      <c r="M20" s="712"/>
      <c r="N20" s="714"/>
      <c r="P20" s="143">
        <f>+B20-T20*118.7*2/(118.7*2+55.85)-Q20*118.7/(118.7+32)</f>
        <v>-17.267113117656258</v>
      </c>
      <c r="Q20" s="727">
        <v>15</v>
      </c>
      <c r="R20" s="141"/>
      <c r="S20" s="141"/>
      <c r="T20" s="140">
        <f>+C20*(118.7*2+55.85)/55.85</f>
        <v>85.426849149507618</v>
      </c>
      <c r="U20" s="141"/>
      <c r="V20" s="141"/>
      <c r="W20" s="141"/>
      <c r="X20" s="141"/>
      <c r="Y20" s="140">
        <f>+D20</f>
        <v>3.7464</v>
      </c>
      <c r="Z20" s="140">
        <f t="shared" si="6"/>
        <v>5.2697000000000003</v>
      </c>
      <c r="AA20" s="140">
        <f t="shared" si="7"/>
        <v>0.5</v>
      </c>
      <c r="AB20" s="141"/>
      <c r="AC20" s="141"/>
      <c r="AD20" s="140">
        <f t="shared" si="8"/>
        <v>0</v>
      </c>
      <c r="AE20" s="140">
        <f t="shared" si="8"/>
        <v>0.27379999999999999</v>
      </c>
      <c r="AF20" s="142">
        <f t="shared" si="8"/>
        <v>4.8777999999999997</v>
      </c>
      <c r="AG20" s="140">
        <f>+K20</f>
        <v>0.5</v>
      </c>
      <c r="AH20" s="3"/>
      <c r="AI20" s="3"/>
      <c r="AJ20" s="198">
        <f t="shared" si="9"/>
        <v>1.6725639681486513</v>
      </c>
    </row>
    <row r="21" spans="1:36">
      <c r="A21" s="100" t="s">
        <v>95</v>
      </c>
      <c r="B21" s="712">
        <v>65</v>
      </c>
      <c r="C21" s="712">
        <v>1</v>
      </c>
      <c r="D21" s="712">
        <v>1</v>
      </c>
      <c r="E21" s="712"/>
      <c r="F21" s="712"/>
      <c r="G21" s="712">
        <v>0.5</v>
      </c>
      <c r="H21" s="712">
        <v>0.08</v>
      </c>
      <c r="I21" s="712">
        <v>0.06</v>
      </c>
      <c r="J21" s="712">
        <v>0.3</v>
      </c>
      <c r="K21" s="712"/>
      <c r="L21" s="712"/>
      <c r="M21" s="712"/>
      <c r="N21" s="714"/>
      <c r="P21" s="143">
        <f>+B21-S21*118.7/(118.7+32)-Q21*118.7/(118.7+32)</f>
        <v>2.4956774635036538</v>
      </c>
      <c r="Q21" s="727">
        <v>77</v>
      </c>
      <c r="R21" s="141"/>
      <c r="S21" s="140">
        <f>+G21*(118.7+32)/32</f>
        <v>2.3546874999999998</v>
      </c>
      <c r="T21" s="141"/>
      <c r="U21" s="140">
        <f>+C21*(55.85*2+16*3)/(55.85*2)</f>
        <v>1.4297224709042076</v>
      </c>
      <c r="V21" s="141"/>
      <c r="W21" s="141"/>
      <c r="X21" s="141"/>
      <c r="Y21" s="140">
        <f>+D21</f>
        <v>1</v>
      </c>
      <c r="Z21" s="140">
        <f t="shared" si="6"/>
        <v>0</v>
      </c>
      <c r="AA21" s="140">
        <f t="shared" si="7"/>
        <v>0</v>
      </c>
      <c r="AB21" s="141"/>
      <c r="AC21" s="141"/>
      <c r="AD21" s="140">
        <f t="shared" si="8"/>
        <v>0.08</v>
      </c>
      <c r="AE21" s="140">
        <f t="shared" si="8"/>
        <v>0.06</v>
      </c>
      <c r="AF21" s="142">
        <f t="shared" si="8"/>
        <v>0.3</v>
      </c>
      <c r="AG21" s="140">
        <f>+K21</f>
        <v>0</v>
      </c>
      <c r="AH21" s="3"/>
      <c r="AI21" s="3"/>
      <c r="AJ21" s="198">
        <f t="shared" si="9"/>
        <v>15.279912565592142</v>
      </c>
    </row>
    <row r="22" spans="1:36">
      <c r="A22" s="100" t="s">
        <v>122</v>
      </c>
      <c r="B22" s="712">
        <v>67</v>
      </c>
      <c r="C22" s="712">
        <v>2</v>
      </c>
      <c r="D22" s="712">
        <v>1</v>
      </c>
      <c r="E22" s="712"/>
      <c r="F22" s="712"/>
      <c r="G22" s="712">
        <v>10</v>
      </c>
      <c r="H22" s="712"/>
      <c r="I22" s="712"/>
      <c r="J22" s="712">
        <v>0.43330000000000002</v>
      </c>
      <c r="K22" s="712">
        <v>10</v>
      </c>
      <c r="L22" s="712"/>
      <c r="M22" s="712"/>
      <c r="N22" s="714"/>
      <c r="P22" s="143">
        <f>+B22-S22*118.7/(118.7+32)-Q22*118.7/(118.7+32)</f>
        <v>19.561266745998985</v>
      </c>
      <c r="Q22" s="727">
        <v>25</v>
      </c>
      <c r="R22" s="141"/>
      <c r="S22" s="140">
        <f>+(G22-AC22*32/(63.5*2+32))*(118.7+32)/32</f>
        <v>35.227608267716533</v>
      </c>
      <c r="T22" s="141"/>
      <c r="U22" s="140">
        <f>+C22*(2*55.8+16*3)/(2*55.8)</f>
        <v>2.860215053763441</v>
      </c>
      <c r="V22" s="141"/>
      <c r="W22" s="141"/>
      <c r="X22" s="140"/>
      <c r="Y22" s="140">
        <f>+D22</f>
        <v>1</v>
      </c>
      <c r="Z22" s="140">
        <f t="shared" si="6"/>
        <v>0</v>
      </c>
      <c r="AA22" s="140">
        <f t="shared" si="7"/>
        <v>0</v>
      </c>
      <c r="AB22" s="141"/>
      <c r="AC22" s="140">
        <f>+K22*(63.5*2+32)/(63.5*2)</f>
        <v>12.51968503937008</v>
      </c>
      <c r="AD22" s="140">
        <f t="shared" si="8"/>
        <v>0</v>
      </c>
      <c r="AE22" s="140">
        <f t="shared" si="8"/>
        <v>0</v>
      </c>
      <c r="AF22" s="142">
        <f t="shared" si="8"/>
        <v>0.43330000000000002</v>
      </c>
      <c r="AG22" s="140"/>
      <c r="AH22" s="3"/>
      <c r="AI22" s="3"/>
      <c r="AJ22" s="198">
        <f t="shared" si="9"/>
        <v>3.3979248931509716</v>
      </c>
    </row>
    <row r="23" spans="1:36">
      <c r="A23" s="100" t="s">
        <v>123</v>
      </c>
      <c r="B23" s="712">
        <v>62.359000000000002</v>
      </c>
      <c r="C23" s="712">
        <v>1.4381999999999999</v>
      </c>
      <c r="D23" s="712">
        <v>1</v>
      </c>
      <c r="E23" s="712"/>
      <c r="F23" s="712"/>
      <c r="G23" s="712">
        <v>1.31</v>
      </c>
      <c r="H23" s="712">
        <v>0.09</v>
      </c>
      <c r="I23" s="712">
        <v>0.05</v>
      </c>
      <c r="J23" s="712">
        <v>0.37</v>
      </c>
      <c r="K23" s="712">
        <v>0.5</v>
      </c>
      <c r="L23" s="712"/>
      <c r="M23" s="712"/>
      <c r="N23" s="714"/>
      <c r="P23" s="143">
        <f>+B23-S23*118.7/(118.7+32)-Q23*118.7/(118.7+32)</f>
        <v>41.746566792468478</v>
      </c>
      <c r="Q23" s="727">
        <v>20</v>
      </c>
      <c r="R23" s="141"/>
      <c r="S23" s="140">
        <f>+G23*(118.7+32)/32</f>
        <v>6.16928125</v>
      </c>
      <c r="T23" s="141"/>
      <c r="U23" s="140">
        <f>+C23*(55.85*2+16*3)/(55.85*2)</f>
        <v>2.0562268576544311</v>
      </c>
      <c r="V23" s="141"/>
      <c r="W23" s="141"/>
      <c r="X23" s="141"/>
      <c r="Y23" s="140">
        <f t="shared" ref="Y23:Y30" si="10">+D23</f>
        <v>1</v>
      </c>
      <c r="Z23" s="140">
        <f t="shared" si="6"/>
        <v>0</v>
      </c>
      <c r="AA23" s="140">
        <f t="shared" si="7"/>
        <v>0</v>
      </c>
      <c r="AB23" s="141"/>
      <c r="AC23" s="141"/>
      <c r="AD23" s="140">
        <f t="shared" ref="AD23:AD30" si="11">+H23</f>
        <v>0.09</v>
      </c>
      <c r="AE23" s="140">
        <f t="shared" ref="AE23:AE30" si="12">+I23</f>
        <v>0.05</v>
      </c>
      <c r="AF23" s="142">
        <f t="shared" ref="AF23:AF30" si="13">+J23</f>
        <v>0.37</v>
      </c>
      <c r="AG23" s="140">
        <f>+K23</f>
        <v>0.5</v>
      </c>
      <c r="AH23" s="140">
        <f>+L23</f>
        <v>0</v>
      </c>
      <c r="AI23" s="140">
        <f>+N23</f>
        <v>0</v>
      </c>
      <c r="AJ23" s="198">
        <f t="shared" si="9"/>
        <v>28.017925099877075</v>
      </c>
    </row>
    <row r="24" spans="1:36">
      <c r="A24" s="100" t="s">
        <v>124</v>
      </c>
      <c r="B24" s="712">
        <v>16.578900000000001</v>
      </c>
      <c r="C24" s="712">
        <v>20.3657</v>
      </c>
      <c r="D24" s="712">
        <v>22.219100000000001</v>
      </c>
      <c r="E24" s="712">
        <v>12.874000000000001</v>
      </c>
      <c r="F24" s="712">
        <v>9.7828999999999997</v>
      </c>
      <c r="G24" s="712"/>
      <c r="H24" s="712"/>
      <c r="I24" s="712">
        <v>0.1497</v>
      </c>
      <c r="J24" s="712">
        <v>1.0409999999999999</v>
      </c>
      <c r="K24" s="712"/>
      <c r="L24" s="712"/>
      <c r="M24" s="712">
        <v>3.5</v>
      </c>
      <c r="N24" s="714"/>
      <c r="P24" s="139"/>
      <c r="Q24" s="141"/>
      <c r="R24" s="140">
        <f>+B24*(118.7+16)/118.7</f>
        <v>18.813629570345409</v>
      </c>
      <c r="S24" s="141"/>
      <c r="T24" s="141"/>
      <c r="U24" s="141"/>
      <c r="V24" s="140">
        <f>+C24*(55.85+16)/55.85</f>
        <v>26.200099283795879</v>
      </c>
      <c r="W24" s="140"/>
      <c r="X24" s="141"/>
      <c r="Y24" s="140">
        <f t="shared" si="10"/>
        <v>22.219100000000001</v>
      </c>
      <c r="Z24" s="140">
        <f t="shared" ref="Z24:AA30" si="14">+E24</f>
        <v>12.874000000000001</v>
      </c>
      <c r="AA24" s="140">
        <f t="shared" si="14"/>
        <v>9.7828999999999997</v>
      </c>
      <c r="AB24" s="140">
        <f>+M24</f>
        <v>3.5</v>
      </c>
      <c r="AC24" s="141"/>
      <c r="AD24" s="140">
        <f t="shared" si="11"/>
        <v>0</v>
      </c>
      <c r="AE24" s="140">
        <f t="shared" si="12"/>
        <v>0.1497</v>
      </c>
      <c r="AF24" s="142">
        <f t="shared" si="13"/>
        <v>1.0409999999999999</v>
      </c>
      <c r="AG24" s="140">
        <f t="shared" ref="AG24:AG30" si="15">+K24</f>
        <v>0</v>
      </c>
      <c r="AH24" s="3"/>
      <c r="AI24" s="3"/>
      <c r="AJ24" s="198">
        <f t="shared" ref="AJ24:AJ30" si="16">100-SUM(P24:AI24)</f>
        <v>5.4195711458587255</v>
      </c>
    </row>
    <row r="25" spans="1:36">
      <c r="A25" s="100" t="s">
        <v>125</v>
      </c>
      <c r="B25" s="712">
        <v>25.19</v>
      </c>
      <c r="C25" s="712">
        <v>13.7773</v>
      </c>
      <c r="D25" s="712">
        <v>38.081699999999998</v>
      </c>
      <c r="E25" s="712">
        <v>14.8139</v>
      </c>
      <c r="F25" s="712">
        <v>11.6927</v>
      </c>
      <c r="G25" s="712"/>
      <c r="H25" s="712"/>
      <c r="I25" s="712">
        <v>0.1244</v>
      </c>
      <c r="J25" s="712">
        <v>1.3562000000000001</v>
      </c>
      <c r="K25" s="712"/>
      <c r="L25" s="712"/>
      <c r="M25" s="712">
        <v>1.440213661202187</v>
      </c>
      <c r="N25" s="714"/>
      <c r="P25" s="1010">
        <v>0</v>
      </c>
      <c r="Q25" s="141"/>
      <c r="R25" s="140">
        <f>+(B25-P25)*(118.7+16)/118.7</f>
        <v>28.585450716090985</v>
      </c>
      <c r="S25" s="141"/>
      <c r="T25" s="141"/>
      <c r="U25" s="141"/>
      <c r="V25" s="140">
        <f>+C25*(55.85+16)/55.85</f>
        <v>17.724243598925693</v>
      </c>
      <c r="W25" s="140"/>
      <c r="X25" s="141"/>
      <c r="Y25" s="140">
        <f t="shared" si="10"/>
        <v>38.081699999999998</v>
      </c>
      <c r="Z25" s="140">
        <f t="shared" si="14"/>
        <v>14.8139</v>
      </c>
      <c r="AA25" s="140">
        <f t="shared" si="14"/>
        <v>11.6927</v>
      </c>
      <c r="AB25" s="140">
        <f>+M25</f>
        <v>1.440213661202187</v>
      </c>
      <c r="AC25" s="141"/>
      <c r="AD25" s="140">
        <f t="shared" si="11"/>
        <v>0</v>
      </c>
      <c r="AE25" s="140">
        <f t="shared" si="12"/>
        <v>0.1244</v>
      </c>
      <c r="AF25" s="142">
        <f t="shared" si="13"/>
        <v>1.3562000000000001</v>
      </c>
      <c r="AG25" s="140">
        <f t="shared" si="15"/>
        <v>0</v>
      </c>
      <c r="AH25" s="3"/>
      <c r="AI25" s="3"/>
      <c r="AJ25" s="198">
        <f t="shared" si="16"/>
        <v>-13.818807976218864</v>
      </c>
    </row>
    <row r="26" spans="1:36">
      <c r="A26" s="100" t="s">
        <v>126</v>
      </c>
      <c r="B26" s="712"/>
      <c r="C26" s="712">
        <v>61.7</v>
      </c>
      <c r="D26" s="712">
        <v>2.5</v>
      </c>
      <c r="E26" s="712"/>
      <c r="F26" s="712"/>
      <c r="G26" s="712"/>
      <c r="H26" s="712"/>
      <c r="I26" s="712"/>
      <c r="J26" s="712"/>
      <c r="K26" s="712"/>
      <c r="L26" s="712"/>
      <c r="M26" s="712"/>
      <c r="N26" s="714"/>
      <c r="P26" s="139"/>
      <c r="Q26" s="141"/>
      <c r="R26" s="141"/>
      <c r="S26" s="141"/>
      <c r="T26" s="141"/>
      <c r="U26" s="140">
        <f>+C26*(55.85*2+16*3)/(55.85*2)</f>
        <v>88.213876454789613</v>
      </c>
      <c r="V26" s="141"/>
      <c r="W26" s="141"/>
      <c r="X26" s="141"/>
      <c r="Y26" s="140">
        <f t="shared" si="10"/>
        <v>2.5</v>
      </c>
      <c r="Z26" s="140">
        <f t="shared" si="14"/>
        <v>0</v>
      </c>
      <c r="AA26" s="140">
        <f t="shared" si="14"/>
        <v>0</v>
      </c>
      <c r="AB26" s="141"/>
      <c r="AC26" s="141"/>
      <c r="AD26" s="140">
        <f t="shared" si="11"/>
        <v>0</v>
      </c>
      <c r="AE26" s="140">
        <f t="shared" si="12"/>
        <v>0</v>
      </c>
      <c r="AF26" s="142">
        <f t="shared" si="13"/>
        <v>0</v>
      </c>
      <c r="AG26" s="140">
        <f t="shared" si="15"/>
        <v>0</v>
      </c>
      <c r="AH26" s="3"/>
      <c r="AI26" s="3"/>
      <c r="AJ26" s="198">
        <f t="shared" si="16"/>
        <v>9.286123545210387</v>
      </c>
    </row>
    <row r="27" spans="1:36">
      <c r="A27" s="100" t="s">
        <v>130</v>
      </c>
      <c r="B27" s="712">
        <v>57.17</v>
      </c>
      <c r="C27" s="712">
        <v>0.83</v>
      </c>
      <c r="D27" s="712">
        <v>0.64</v>
      </c>
      <c r="E27" s="712">
        <v>1.9</v>
      </c>
      <c r="F27" s="712">
        <v>0.41</v>
      </c>
      <c r="G27" s="712">
        <v>0.05</v>
      </c>
      <c r="H27" s="712">
        <v>5.0000000000000001E-3</v>
      </c>
      <c r="I27" s="712">
        <v>2.8000000000000001E-2</v>
      </c>
      <c r="J27" s="712">
        <v>3.6999999999999998E-2</v>
      </c>
      <c r="K27" s="712">
        <v>1.9E-2</v>
      </c>
      <c r="L27" s="712"/>
      <c r="M27" s="712"/>
      <c r="N27" s="714"/>
      <c r="P27" s="139"/>
      <c r="Q27" s="140">
        <f>+(B27)*(118.7+32)/118.7</f>
        <v>72.582299915754007</v>
      </c>
      <c r="R27" s="141"/>
      <c r="S27" s="140"/>
      <c r="T27" s="141"/>
      <c r="U27" s="140">
        <f>+(C27-W27*55.85/119.85)*(55.85*2+16*3)/(55.85*2)</f>
        <v>1.1242868383504923</v>
      </c>
      <c r="V27" s="141"/>
      <c r="W27" s="141">
        <f>+G27*(55.85+64)/64</f>
        <v>9.3632812499999996E-2</v>
      </c>
      <c r="X27" s="141"/>
      <c r="Y27" s="140">
        <f t="shared" si="10"/>
        <v>0.64</v>
      </c>
      <c r="Z27" s="140">
        <f t="shared" si="14"/>
        <v>1.9</v>
      </c>
      <c r="AA27" s="140">
        <f t="shared" si="14"/>
        <v>0.41</v>
      </c>
      <c r="AB27" s="141"/>
      <c r="AC27" s="141"/>
      <c r="AD27" s="140">
        <f t="shared" si="11"/>
        <v>5.0000000000000001E-3</v>
      </c>
      <c r="AE27" s="140">
        <f t="shared" si="12"/>
        <v>2.8000000000000001E-2</v>
      </c>
      <c r="AF27" s="142">
        <f t="shared" si="13"/>
        <v>3.6999999999999998E-2</v>
      </c>
      <c r="AG27" s="140">
        <f t="shared" si="15"/>
        <v>1.9E-2</v>
      </c>
      <c r="AH27" s="3"/>
      <c r="AI27" s="3"/>
      <c r="AJ27" s="198">
        <f t="shared" si="16"/>
        <v>23.160780433395487</v>
      </c>
    </row>
    <row r="28" spans="1:36">
      <c r="A28" s="100" t="s">
        <v>616</v>
      </c>
      <c r="B28" s="712">
        <v>20.56</v>
      </c>
      <c r="C28" s="712">
        <v>12.55</v>
      </c>
      <c r="D28" s="712">
        <v>49.62</v>
      </c>
      <c r="E28" s="712">
        <v>4.84</v>
      </c>
      <c r="F28" s="712">
        <v>0.16</v>
      </c>
      <c r="G28" s="712">
        <v>0.4</v>
      </c>
      <c r="H28" s="712">
        <v>7.1999999999999998E-3</v>
      </c>
      <c r="I28" s="712">
        <v>2.5000000000000001E-2</v>
      </c>
      <c r="J28" s="712">
        <v>6.8000000000000005E-2</v>
      </c>
      <c r="K28" s="712">
        <v>0.11</v>
      </c>
      <c r="L28" s="712"/>
      <c r="M28" s="712"/>
      <c r="N28" s="714"/>
      <c r="P28" s="139"/>
      <c r="Q28" s="140">
        <f>+(B28)*(118.7+32)/118.7</f>
        <v>26.102712721145739</v>
      </c>
      <c r="R28" s="141"/>
      <c r="S28" s="140"/>
      <c r="T28" s="141"/>
      <c r="U28" s="140">
        <f>+(C28-W28*55.85/119.85)*(55.85*2+16*3)/(55.85*2)</f>
        <v>17.443954509847806</v>
      </c>
      <c r="V28" s="141"/>
      <c r="W28" s="141">
        <f>+G28*(55.85+64)/64</f>
        <v>0.74906249999999996</v>
      </c>
      <c r="X28" s="141"/>
      <c r="Y28" s="140">
        <f t="shared" si="10"/>
        <v>49.62</v>
      </c>
      <c r="Z28" s="140">
        <f t="shared" si="14"/>
        <v>4.84</v>
      </c>
      <c r="AA28" s="140">
        <f t="shared" si="14"/>
        <v>0.16</v>
      </c>
      <c r="AB28" s="141"/>
      <c r="AC28" s="141"/>
      <c r="AD28" s="140">
        <f t="shared" ref="AD28:AF29" si="17">+H28</f>
        <v>7.1999999999999998E-3</v>
      </c>
      <c r="AE28" s="140">
        <f t="shared" si="17"/>
        <v>2.5000000000000001E-2</v>
      </c>
      <c r="AF28" s="142">
        <f t="shared" si="17"/>
        <v>6.8000000000000005E-2</v>
      </c>
      <c r="AG28" s="140">
        <f t="shared" si="15"/>
        <v>0.11</v>
      </c>
      <c r="AH28" s="3"/>
      <c r="AI28" s="3"/>
      <c r="AJ28" s="198">
        <f t="shared" si="16"/>
        <v>0.87407026900645235</v>
      </c>
    </row>
    <row r="29" spans="1:36">
      <c r="A29" s="100" t="s">
        <v>148</v>
      </c>
      <c r="B29" s="712">
        <v>14.2</v>
      </c>
      <c r="C29" s="712">
        <v>12.5</v>
      </c>
      <c r="D29" s="712">
        <v>34</v>
      </c>
      <c r="E29" s="712">
        <v>11.5</v>
      </c>
      <c r="F29" s="712">
        <v>7.9</v>
      </c>
      <c r="G29" s="712">
        <v>0</v>
      </c>
      <c r="H29" s="715">
        <v>0</v>
      </c>
      <c r="I29" s="712">
        <v>0.28000000000000003</v>
      </c>
      <c r="J29" s="712">
        <v>0.56999999999999995</v>
      </c>
      <c r="K29" s="712">
        <v>0</v>
      </c>
      <c r="L29" s="712"/>
      <c r="M29" s="712"/>
      <c r="N29" s="714"/>
      <c r="P29" s="139"/>
      <c r="Q29" s="140"/>
      <c r="R29" s="141"/>
      <c r="S29" s="140"/>
      <c r="T29" s="141"/>
      <c r="U29" s="140">
        <f>+C29*(55.85*2+16*3)/(55.85*2)</f>
        <v>17.871530886302594</v>
      </c>
      <c r="V29" s="141"/>
      <c r="W29" s="141"/>
      <c r="X29" s="141"/>
      <c r="Y29" s="140">
        <f t="shared" si="10"/>
        <v>34</v>
      </c>
      <c r="Z29" s="140">
        <f t="shared" si="14"/>
        <v>11.5</v>
      </c>
      <c r="AA29" s="140">
        <f t="shared" si="14"/>
        <v>7.9</v>
      </c>
      <c r="AB29" s="141"/>
      <c r="AC29" s="141"/>
      <c r="AD29" s="140">
        <f t="shared" si="17"/>
        <v>0</v>
      </c>
      <c r="AE29" s="140">
        <f t="shared" si="17"/>
        <v>0.28000000000000003</v>
      </c>
      <c r="AF29" s="142">
        <f t="shared" si="17"/>
        <v>0.56999999999999995</v>
      </c>
      <c r="AG29" s="140">
        <f t="shared" si="15"/>
        <v>0</v>
      </c>
      <c r="AH29" s="3"/>
      <c r="AI29" s="3"/>
      <c r="AJ29" s="198">
        <f t="shared" si="16"/>
        <v>27.878469113697406</v>
      </c>
    </row>
    <row r="30" spans="1:36">
      <c r="A30" s="178" t="s">
        <v>103</v>
      </c>
      <c r="B30" s="716"/>
      <c r="C30" s="716"/>
      <c r="D30" s="716">
        <v>1.3</v>
      </c>
      <c r="E30" s="716">
        <v>1.3045</v>
      </c>
      <c r="F30" s="716">
        <v>85.113</v>
      </c>
      <c r="G30" s="716"/>
      <c r="H30" s="716"/>
      <c r="I30" s="716"/>
      <c r="J30" s="716"/>
      <c r="K30" s="716"/>
      <c r="L30" s="716"/>
      <c r="M30" s="716">
        <v>0.89739999999999998</v>
      </c>
      <c r="N30" s="717"/>
      <c r="P30" s="144"/>
      <c r="Q30" s="145"/>
      <c r="R30" s="145"/>
      <c r="S30" s="145"/>
      <c r="T30" s="145"/>
      <c r="U30" s="145"/>
      <c r="V30" s="145"/>
      <c r="W30" s="145"/>
      <c r="X30" s="145"/>
      <c r="Y30" s="146">
        <f t="shared" si="10"/>
        <v>1.3</v>
      </c>
      <c r="Z30" s="146">
        <f t="shared" si="14"/>
        <v>1.3045</v>
      </c>
      <c r="AA30" s="146">
        <f t="shared" si="14"/>
        <v>85.113</v>
      </c>
      <c r="AB30" s="145"/>
      <c r="AC30" s="145"/>
      <c r="AD30" s="146">
        <f t="shared" si="11"/>
        <v>0</v>
      </c>
      <c r="AE30" s="146">
        <f t="shared" si="12"/>
        <v>0</v>
      </c>
      <c r="AF30" s="147">
        <f t="shared" si="13"/>
        <v>0</v>
      </c>
      <c r="AG30" s="146">
        <f t="shared" si="15"/>
        <v>0</v>
      </c>
      <c r="AH30" s="182"/>
      <c r="AI30" s="182"/>
      <c r="AJ30" s="199">
        <f t="shared" si="16"/>
        <v>12.282499999999999</v>
      </c>
    </row>
    <row r="31" spans="1:36">
      <c r="A31" s="665"/>
      <c r="B31" s="3"/>
    </row>
    <row r="33" spans="1:16" ht="17.399999999999999">
      <c r="A33" s="664" t="s">
        <v>154</v>
      </c>
    </row>
    <row r="34" spans="1:16">
      <c r="B34" s="188" t="s">
        <v>156</v>
      </c>
      <c r="C34" s="189" t="s">
        <v>216</v>
      </c>
      <c r="D34" s="189" t="s">
        <v>111</v>
      </c>
      <c r="E34" s="189" t="s">
        <v>158</v>
      </c>
      <c r="F34" s="189" t="s">
        <v>5</v>
      </c>
      <c r="G34" s="189" t="s">
        <v>752</v>
      </c>
      <c r="H34" s="201"/>
      <c r="J34" s="204" t="s">
        <v>113</v>
      </c>
    </row>
    <row r="35" spans="1:16">
      <c r="A35" s="152" t="s">
        <v>155</v>
      </c>
      <c r="B35" s="718">
        <v>82</v>
      </c>
      <c r="C35" s="719">
        <v>5.5</v>
      </c>
      <c r="D35" s="719">
        <v>2</v>
      </c>
      <c r="E35" s="719">
        <v>1</v>
      </c>
      <c r="F35" s="719">
        <v>1</v>
      </c>
      <c r="G35" s="1020">
        <f>100-SUM(B35:F35)</f>
        <v>8.5</v>
      </c>
      <c r="H35" s="1018">
        <f>+SUM(B35:G35)</f>
        <v>100</v>
      </c>
      <c r="I35" s="219"/>
      <c r="J35" s="726">
        <v>5</v>
      </c>
    </row>
    <row r="36" spans="1:16">
      <c r="A36" s="135" t="s">
        <v>620</v>
      </c>
      <c r="B36" s="720">
        <v>75</v>
      </c>
      <c r="C36" s="721">
        <v>4.4000000000000004</v>
      </c>
      <c r="D36" s="721">
        <v>2</v>
      </c>
      <c r="E36" s="721">
        <v>2</v>
      </c>
      <c r="F36" s="721">
        <v>1</v>
      </c>
      <c r="G36" s="1021">
        <f>100-SUM(B36:F36)</f>
        <v>15.599999999999994</v>
      </c>
      <c r="H36" s="1017">
        <f>+SUM(B36:G36)</f>
        <v>100</v>
      </c>
      <c r="I36" s="219"/>
      <c r="J36" s="1022">
        <v>5</v>
      </c>
    </row>
    <row r="37" spans="1:16">
      <c r="A37" s="135" t="s">
        <v>118</v>
      </c>
      <c r="B37" s="721">
        <f t="shared" ref="B37:G37" si="18">+(B35*4+B36*6)/10</f>
        <v>77.8</v>
      </c>
      <c r="C37" s="721">
        <f t="shared" si="18"/>
        <v>4.8400000000000007</v>
      </c>
      <c r="D37" s="721">
        <f t="shared" si="18"/>
        <v>2</v>
      </c>
      <c r="E37" s="721">
        <f t="shared" si="18"/>
        <v>1.6</v>
      </c>
      <c r="F37" s="721">
        <f t="shared" si="18"/>
        <v>1</v>
      </c>
      <c r="G37" s="1021">
        <f t="shared" si="18"/>
        <v>12.759999999999996</v>
      </c>
      <c r="H37" s="1017">
        <f>+SUM(B37:G37)</f>
        <v>99.999999999999986</v>
      </c>
      <c r="I37" s="219"/>
      <c r="J37" s="1022"/>
    </row>
    <row r="38" spans="1:16">
      <c r="A38" s="135"/>
      <c r="B38" s="720"/>
      <c r="C38" s="721"/>
      <c r="D38" s="721"/>
      <c r="E38" s="721"/>
      <c r="F38" s="721"/>
      <c r="G38" s="1021"/>
      <c r="H38" s="1017">
        <f>+SUM(B38:G38)</f>
        <v>0</v>
      </c>
      <c r="I38" s="219"/>
      <c r="J38" s="1022"/>
    </row>
    <row r="39" spans="1:16">
      <c r="A39" s="136"/>
      <c r="B39" s="722"/>
      <c r="C39" s="723"/>
      <c r="D39" s="723"/>
      <c r="E39" s="723"/>
      <c r="F39" s="723"/>
      <c r="G39" s="724"/>
      <c r="H39" s="1019">
        <f>+SUM(B39:G39)</f>
        <v>0</v>
      </c>
      <c r="I39" s="219"/>
      <c r="J39" s="1023"/>
    </row>
    <row r="42" spans="1:16" ht="17.399999999999999">
      <c r="A42" s="664" t="s">
        <v>213</v>
      </c>
    </row>
    <row r="43" spans="1:16">
      <c r="B43" s="211" t="s">
        <v>156</v>
      </c>
      <c r="C43" s="212" t="s">
        <v>157</v>
      </c>
      <c r="D43" s="212" t="s">
        <v>111</v>
      </c>
      <c r="E43" s="212" t="s">
        <v>158</v>
      </c>
      <c r="F43" s="212" t="s">
        <v>5</v>
      </c>
      <c r="G43" s="213" t="s">
        <v>752</v>
      </c>
      <c r="K43" t="s">
        <v>700</v>
      </c>
      <c r="M43" s="215" t="s">
        <v>214</v>
      </c>
    </row>
    <row r="44" spans="1:16">
      <c r="A44" t="s">
        <v>163</v>
      </c>
      <c r="B44" s="722">
        <v>86</v>
      </c>
      <c r="C44" s="723">
        <v>11.413333333333327</v>
      </c>
      <c r="D44" s="723">
        <v>0.7</v>
      </c>
      <c r="E44" s="723">
        <v>0</v>
      </c>
      <c r="F44" s="723">
        <v>1.06</v>
      </c>
      <c r="G44" s="724">
        <f>100-SUM(B44:F44)</f>
        <v>0.82666666666666799</v>
      </c>
      <c r="H44" s="220">
        <f>+SUM(B44:G44)</f>
        <v>100</v>
      </c>
      <c r="I44" s="219"/>
      <c r="K44" s="203">
        <v>22.4</v>
      </c>
      <c r="M44" s="725">
        <v>9690</v>
      </c>
      <c r="N44" t="s">
        <v>220</v>
      </c>
    </row>
    <row r="45" spans="1:16">
      <c r="B45" s="7"/>
      <c r="C45" s="7"/>
      <c r="D45" s="7"/>
      <c r="E45" s="7"/>
      <c r="F45" s="7"/>
      <c r="G45" s="7"/>
    </row>
    <row r="46" spans="1:16">
      <c r="A46" t="s">
        <v>164</v>
      </c>
      <c r="B46" s="211" t="s">
        <v>215</v>
      </c>
      <c r="C46" s="212" t="s">
        <v>216</v>
      </c>
      <c r="D46" s="212" t="s">
        <v>217</v>
      </c>
      <c r="E46" s="212" t="s">
        <v>218</v>
      </c>
      <c r="F46" s="213" t="s">
        <v>219</v>
      </c>
      <c r="G46" s="7"/>
      <c r="H46" s="211" t="s">
        <v>156</v>
      </c>
      <c r="I46" s="212" t="s">
        <v>157</v>
      </c>
      <c r="J46" s="212" t="s">
        <v>111</v>
      </c>
      <c r="K46" s="213" t="s">
        <v>158</v>
      </c>
      <c r="P46" t="s">
        <v>501</v>
      </c>
    </row>
    <row r="47" spans="1:16">
      <c r="A47" s="844" t="s">
        <v>246</v>
      </c>
      <c r="B47" s="722"/>
      <c r="C47" s="723"/>
      <c r="D47" s="723"/>
      <c r="E47" s="723"/>
      <c r="F47" s="724"/>
      <c r="G47" s="220"/>
      <c r="H47" s="216">
        <f>+D64*12/(12+4)+D65*12*2/(12*2+6)+D63*12/(12+16*2)+D66*3*12/(12*3+8)+D67*12*4/(12*4+10)+D68*5*12/(5*12+12)+D69*6*12/(6*12+14)</f>
        <v>74.644318181818193</v>
      </c>
      <c r="I47" s="217">
        <f>+D64*4/(12+4)+D65*6/(24+6)+D66*8/(12*3+8)+D67*10/(12*4+10)+D68*12/(5*12+12)+D69*14/(6*12+14)</f>
        <v>24.195681818181821</v>
      </c>
      <c r="J47" s="217">
        <f>+D63*16*2/(16*2+12)</f>
        <v>0.24000000000000002</v>
      </c>
      <c r="K47" s="218">
        <f>+D62</f>
        <v>0.92</v>
      </c>
      <c r="M47" s="725">
        <f>141732/4.03*252/1000*1*0+-K71</f>
        <v>10091.331517857143</v>
      </c>
      <c r="N47" t="s">
        <v>221</v>
      </c>
      <c r="P47" s="157">
        <f>+D71</f>
        <v>17.588800000000003</v>
      </c>
    </row>
    <row r="48" spans="1:16">
      <c r="A48" s="844" t="s">
        <v>550</v>
      </c>
      <c r="B48" s="845"/>
      <c r="C48" s="845"/>
      <c r="D48" s="845"/>
      <c r="E48" s="845"/>
      <c r="F48" s="845"/>
      <c r="G48" s="846"/>
      <c r="H48" s="845">
        <f>+E64*12/(12+4)+E65*12*2/(12*2+6)+E63*12/(12+16*2)+E66*3*12/(12*3+8)+E67*12*4/(12*4+10)+E68*5*12/(5*12+12)+E69*6*12/(6*12+14)</f>
        <v>74.351860274720252</v>
      </c>
      <c r="I48" s="845">
        <f>+E64*4/(12+4)+E65*6/(24+6)+E66*8/(12*3+8)+E67*10/(12*4+10)+E68*12/(5*12+12)+E69*14/(6*12+14)</f>
        <v>23.583189302283266</v>
      </c>
      <c r="J48" s="845">
        <f>+E63*16*2/(16*2+12)</f>
        <v>0.60038206131174376</v>
      </c>
      <c r="K48" s="845">
        <f>+E62</f>
        <v>1.4645683616847083</v>
      </c>
      <c r="P48" s="221"/>
    </row>
    <row r="49" spans="1:20">
      <c r="F49" s="7"/>
      <c r="G49" s="7"/>
    </row>
    <row r="50" spans="1:20">
      <c r="A50" t="s">
        <v>557</v>
      </c>
      <c r="B50" s="211" t="s">
        <v>215</v>
      </c>
      <c r="C50" s="212" t="s">
        <v>216</v>
      </c>
      <c r="D50" s="212" t="s">
        <v>218</v>
      </c>
      <c r="E50" s="212" t="s">
        <v>558</v>
      </c>
      <c r="F50" s="212" t="s">
        <v>217</v>
      </c>
      <c r="G50" s="849" t="s">
        <v>219</v>
      </c>
      <c r="H50" s="203" t="s">
        <v>12</v>
      </c>
      <c r="I50" s="7"/>
      <c r="J50" s="7"/>
      <c r="K50" s="211" t="s">
        <v>156</v>
      </c>
      <c r="L50" s="212" t="s">
        <v>157</v>
      </c>
      <c r="M50" s="212" t="s">
        <v>111</v>
      </c>
      <c r="N50" s="213" t="s">
        <v>158</v>
      </c>
      <c r="P50" t="s">
        <v>559</v>
      </c>
    </row>
    <row r="51" spans="1:20">
      <c r="B51" s="722">
        <v>0</v>
      </c>
      <c r="C51" s="723">
        <v>0</v>
      </c>
      <c r="D51" s="723">
        <v>66.5</v>
      </c>
      <c r="E51" s="723">
        <f>100-D51</f>
        <v>33.5</v>
      </c>
      <c r="F51" s="723">
        <v>0</v>
      </c>
      <c r="G51" s="850">
        <f>100-SUM(B51:F51)</f>
        <v>0</v>
      </c>
      <c r="H51" s="851">
        <f>+SUM(B51:G51)</f>
        <v>100</v>
      </c>
      <c r="I51" s="844" t="s">
        <v>560</v>
      </c>
      <c r="J51" s="852"/>
      <c r="K51" s="216">
        <f>+B51*12/(12+4)+C51*12*2/(12*2+6)+F51*12/(12+16*2)+D51*3*12/(12*3+8)+E51*12*4/(12*4+10)</f>
        <v>82.133228840125383</v>
      </c>
      <c r="L51" s="217">
        <f>+B51*4/(12+4)+C51*6/(24+6)+D51*8/(12*3+8)+E51*10/(12*4+10)</f>
        <v>17.86677115987461</v>
      </c>
      <c r="M51" s="217">
        <f>+F51*16*2/(16*2+12)</f>
        <v>0</v>
      </c>
      <c r="N51" s="218">
        <f>+G51</f>
        <v>0</v>
      </c>
      <c r="P51" s="347">
        <f>+(B51*16+C51*30+F51*44+D51*44+G51*28+E51*58)/H51</f>
        <v>48.69</v>
      </c>
      <c r="S51" s="725">
        <v>23470</v>
      </c>
      <c r="T51" t="s">
        <v>221</v>
      </c>
    </row>
    <row r="52" spans="1:20">
      <c r="B52" s="853">
        <f>+B51*16/$P$51</f>
        <v>0</v>
      </c>
      <c r="C52" s="853">
        <f>+C51*30/$P$51</f>
        <v>0</v>
      </c>
      <c r="D52" s="853">
        <f>+D51*44/$P$51</f>
        <v>60.094475251591703</v>
      </c>
      <c r="E52" s="853">
        <f>+E51*58/$P$51</f>
        <v>39.905524748408297</v>
      </c>
      <c r="F52" s="853">
        <f>+F51*44/$P$51</f>
        <v>0</v>
      </c>
      <c r="G52" s="853">
        <f>+G51*28/$P$51</f>
        <v>0</v>
      </c>
      <c r="H52" s="854">
        <f>+SUM(B52:G52)</f>
        <v>100</v>
      </c>
      <c r="I52" s="844" t="s">
        <v>561</v>
      </c>
      <c r="J52" s="846"/>
      <c r="K52" s="853">
        <f>+B52*12/(12+4)+C52*12*2/(12*2+6)+F52*12/(12+16*2)+D52*3*12/(12*3+8)+E52*12*4/(12*4+10)</f>
        <v>82.193468884781268</v>
      </c>
      <c r="L52" s="853">
        <f>+B52*4/(12+4)+C52*6/(24+6)+D52*8/(12*3+8)+E52*10/(12*4+10)</f>
        <v>17.806531115218732</v>
      </c>
      <c r="M52" s="853">
        <f>+F52*16*2/(16*2+12)</f>
        <v>0</v>
      </c>
      <c r="N52" s="853">
        <f>+G52</f>
        <v>0</v>
      </c>
      <c r="P52" s="221"/>
    </row>
    <row r="55" spans="1:20">
      <c r="B55" s="7"/>
      <c r="C55" s="7"/>
      <c r="D55" s="7"/>
      <c r="E55" s="7"/>
      <c r="F55" s="7"/>
    </row>
    <row r="56" spans="1:20">
      <c r="B56" s="395"/>
      <c r="C56" s="395"/>
      <c r="D56" s="395"/>
      <c r="E56" s="395"/>
      <c r="F56" s="395"/>
      <c r="H56" s="395"/>
    </row>
    <row r="59" spans="1:20">
      <c r="B59" t="s">
        <v>164</v>
      </c>
    </row>
    <row r="60" spans="1:20">
      <c r="J60" t="s">
        <v>713</v>
      </c>
      <c r="K60" t="s">
        <v>714</v>
      </c>
    </row>
    <row r="61" spans="1:20">
      <c r="B61" s="378"/>
      <c r="C61" s="379"/>
      <c r="D61" s="1136" t="s">
        <v>241</v>
      </c>
      <c r="E61" s="379" t="s">
        <v>550</v>
      </c>
      <c r="F61" s="379" t="s">
        <v>715</v>
      </c>
      <c r="G61" s="380" t="s">
        <v>716</v>
      </c>
      <c r="H61" s="1281"/>
      <c r="I61" s="1281"/>
      <c r="J61" t="s">
        <v>380</v>
      </c>
    </row>
    <row r="62" spans="1:20">
      <c r="A62">
        <v>28</v>
      </c>
      <c r="B62" s="135" t="s">
        <v>219</v>
      </c>
      <c r="C62" s="3"/>
      <c r="D62" s="1137">
        <v>0.92</v>
      </c>
      <c r="E62" s="21">
        <f>+D62*A62/$D$71</f>
        <v>1.4645683616847083</v>
      </c>
      <c r="F62" s="3">
        <v>0</v>
      </c>
      <c r="G62" s="1138">
        <f t="shared" ref="G62:G69" si="19">+D62/100*F62</f>
        <v>0</v>
      </c>
      <c r="I62" s="210"/>
      <c r="J62">
        <v>0</v>
      </c>
      <c r="K62">
        <v>0</v>
      </c>
      <c r="N62">
        <v>0.92</v>
      </c>
    </row>
    <row r="63" spans="1:20">
      <c r="A63">
        <f>12+16*2</f>
        <v>44</v>
      </c>
      <c r="B63" s="135" t="s">
        <v>217</v>
      </c>
      <c r="C63" s="3"/>
      <c r="D63" s="1137">
        <v>0.33</v>
      </c>
      <c r="E63" s="21">
        <f t="shared" ref="E63:E69" si="20">+D63*A63/$D$71</f>
        <v>0.82552533430364772</v>
      </c>
      <c r="F63" s="3">
        <v>0</v>
      </c>
      <c r="G63" s="1138">
        <f t="shared" si="19"/>
        <v>0</v>
      </c>
      <c r="I63" s="210"/>
      <c r="J63">
        <v>0</v>
      </c>
      <c r="K63">
        <v>0</v>
      </c>
      <c r="N63">
        <v>0.3</v>
      </c>
    </row>
    <row r="64" spans="1:20">
      <c r="A64">
        <f>12+4</f>
        <v>16</v>
      </c>
      <c r="B64" s="135" t="s">
        <v>717</v>
      </c>
      <c r="C64" s="3" t="s">
        <v>215</v>
      </c>
      <c r="D64" s="1137">
        <v>88.95</v>
      </c>
      <c r="E64" s="21">
        <f t="shared" si="20"/>
        <v>80.915127808605462</v>
      </c>
      <c r="F64" s="3">
        <v>2</v>
      </c>
      <c r="G64" s="1138">
        <f t="shared" si="19"/>
        <v>1.7790000000000001</v>
      </c>
      <c r="I64" s="210"/>
      <c r="J64">
        <v>-191.816</v>
      </c>
      <c r="K64">
        <v>-212.85</v>
      </c>
      <c r="N64">
        <v>88.98</v>
      </c>
    </row>
    <row r="65" spans="1:17">
      <c r="A65">
        <f>2*12+6</f>
        <v>30</v>
      </c>
      <c r="B65" s="135" t="s">
        <v>718</v>
      </c>
      <c r="C65" s="3" t="s">
        <v>216</v>
      </c>
      <c r="D65" s="1137">
        <v>9.6999999999999993</v>
      </c>
      <c r="E65" s="21">
        <f t="shared" si="20"/>
        <v>16.544619303192938</v>
      </c>
      <c r="F65" s="3">
        <v>3.5</v>
      </c>
      <c r="G65" s="1138">
        <f t="shared" si="19"/>
        <v>0.33949999999999997</v>
      </c>
      <c r="I65" s="210"/>
      <c r="J65">
        <v>-341.49299999999999</v>
      </c>
      <c r="K65">
        <v>-373.04500000000002</v>
      </c>
      <c r="N65">
        <v>9.6999999999999993</v>
      </c>
    </row>
    <row r="66" spans="1:17">
      <c r="A66">
        <f>3*12+8</f>
        <v>44</v>
      </c>
      <c r="B66" s="135" t="s">
        <v>719</v>
      </c>
      <c r="C66" s="3" t="s">
        <v>218</v>
      </c>
      <c r="D66" s="1137">
        <v>0.1</v>
      </c>
      <c r="E66" s="21">
        <f t="shared" si="20"/>
        <v>0.25015919221322658</v>
      </c>
      <c r="F66" s="3">
        <v>5</v>
      </c>
      <c r="G66" s="1138">
        <f t="shared" si="19"/>
        <v>5.0000000000000001E-3</v>
      </c>
      <c r="I66" s="210"/>
      <c r="J66">
        <v>-488.31700000000001</v>
      </c>
      <c r="K66">
        <v>-530.38599999999997</v>
      </c>
      <c r="N66">
        <v>0.1</v>
      </c>
    </row>
    <row r="67" spans="1:17">
      <c r="A67">
        <f>4*12+10</f>
        <v>58</v>
      </c>
      <c r="B67" s="135" t="s">
        <v>720</v>
      </c>
      <c r="C67" s="3" t="s">
        <v>558</v>
      </c>
      <c r="D67" s="1137">
        <v>0</v>
      </c>
      <c r="E67" s="21">
        <f t="shared" si="20"/>
        <v>0</v>
      </c>
      <c r="F67" s="3">
        <v>6.5</v>
      </c>
      <c r="G67" s="1138">
        <f t="shared" si="19"/>
        <v>0</v>
      </c>
      <c r="I67" s="210"/>
      <c r="J67">
        <v>-628.95899999999995</v>
      </c>
      <c r="K67">
        <v>-681.54499999999996</v>
      </c>
      <c r="N67">
        <v>0</v>
      </c>
    </row>
    <row r="68" spans="1:17">
      <c r="A68">
        <f>5*12+12</f>
        <v>72</v>
      </c>
      <c r="B68" s="135" t="s">
        <v>721</v>
      </c>
      <c r="C68" s="3" t="s">
        <v>722</v>
      </c>
      <c r="D68" s="1137">
        <v>0</v>
      </c>
      <c r="E68" s="21">
        <f t="shared" si="20"/>
        <v>0</v>
      </c>
      <c r="F68" s="3">
        <v>8</v>
      </c>
      <c r="G68" s="1138">
        <f t="shared" si="19"/>
        <v>0</v>
      </c>
      <c r="I68" s="210"/>
      <c r="J68">
        <v>-782.03700000000003</v>
      </c>
      <c r="K68">
        <v>-845.14</v>
      </c>
      <c r="N68">
        <v>0</v>
      </c>
    </row>
    <row r="69" spans="1:17">
      <c r="A69">
        <f>6*12+14</f>
        <v>86</v>
      </c>
      <c r="B69" s="136" t="s">
        <v>723</v>
      </c>
      <c r="C69" s="182" t="s">
        <v>724</v>
      </c>
      <c r="D69" s="1139">
        <v>0</v>
      </c>
      <c r="E69" s="346">
        <f t="shared" si="20"/>
        <v>0</v>
      </c>
      <c r="F69" s="182">
        <v>9.5</v>
      </c>
      <c r="G69" s="1140">
        <f t="shared" si="19"/>
        <v>0</v>
      </c>
      <c r="I69" s="210"/>
      <c r="J69">
        <v>-928.92499999999995</v>
      </c>
      <c r="K69">
        <v>-1002.545</v>
      </c>
      <c r="N69">
        <v>0</v>
      </c>
    </row>
    <row r="70" spans="1:17">
      <c r="G70" s="210">
        <f>SUM(G62:G69)</f>
        <v>2.1234999999999999</v>
      </c>
      <c r="H70" t="s">
        <v>725</v>
      </c>
      <c r="I70" s="210"/>
      <c r="J70" s="267">
        <f>+SUMPRODUCT($D$62:$D$69,J62:J69)/100</f>
        <v>-204.23347000000001</v>
      </c>
      <c r="K70" s="267">
        <f>+SUMPRODUCT($D$62:$D$69,K62:K69)/100</f>
        <v>-226.04582599999998</v>
      </c>
      <c r="Q70">
        <f>1/26.35</f>
        <v>3.7950664136622389E-2</v>
      </c>
    </row>
    <row r="71" spans="1:17">
      <c r="C71" t="s">
        <v>370</v>
      </c>
      <c r="D71" s="1141">
        <f>+SUMPRODUCT(A62:A69,D62:D69)/100</f>
        <v>17.588800000000003</v>
      </c>
      <c r="F71" t="s">
        <v>726</v>
      </c>
      <c r="G71" s="1170">
        <f>+G70/0.21</f>
        <v>10.111904761904762</v>
      </c>
      <c r="H71" t="s">
        <v>727</v>
      </c>
      <c r="J71" s="1142">
        <f>+J70*1000/22.4</f>
        <v>-9117.5656250000011</v>
      </c>
      <c r="K71" s="1143">
        <f>+K70*1000/22.4</f>
        <v>-10091.331517857143</v>
      </c>
      <c r="L71" t="s">
        <v>728</v>
      </c>
      <c r="Q71">
        <f>+Q70*1000000</f>
        <v>37950.664136622392</v>
      </c>
    </row>
    <row r="73" spans="1:17">
      <c r="J73" s="1144" t="s">
        <v>729</v>
      </c>
    </row>
    <row r="74" spans="1:17">
      <c r="H74" s="210"/>
      <c r="I74" s="210"/>
      <c r="J74" s="210"/>
      <c r="K74" s="210"/>
      <c r="Q74">
        <f>+Q71*0.252</f>
        <v>9563.5673624288429</v>
      </c>
    </row>
    <row r="75" spans="1:17">
      <c r="H75" s="210"/>
      <c r="I75" s="210"/>
      <c r="J75" s="210">
        <f>+J71/0.252</f>
        <v>-36180.815972222226</v>
      </c>
      <c r="K75" s="210"/>
    </row>
  </sheetData>
  <mergeCells count="5">
    <mergeCell ref="B16:N16"/>
    <mergeCell ref="P16:AJ16"/>
    <mergeCell ref="H4:M4"/>
    <mergeCell ref="B4:F4"/>
    <mergeCell ref="H61:I61"/>
  </mergeCells>
  <phoneticPr fontId="10" type="noConversion"/>
  <pageMargins left="0.75" right="0.75" top="1" bottom="1" header="0" footer="0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BAD43-D569-413D-AB73-DE04CD4C3262}">
  <sheetPr codeName="Hoja13"/>
  <dimension ref="A2:I21"/>
  <sheetViews>
    <sheetView workbookViewId="0">
      <selection activeCell="H4" sqref="H4"/>
    </sheetView>
  </sheetViews>
  <sheetFormatPr baseColWidth="10" defaultRowHeight="13.2"/>
  <cols>
    <col min="1" max="1" width="18" customWidth="1"/>
    <col min="2" max="2" width="12.6640625" customWidth="1"/>
    <col min="4" max="4" width="11.44140625" hidden="1" customWidth="1"/>
    <col min="5" max="5" width="3.6640625" hidden="1" customWidth="1"/>
    <col min="6" max="7" width="12" hidden="1" customWidth="1"/>
    <col min="8" max="8" width="12" bestFit="1" customWidth="1"/>
    <col min="9" max="9" width="10.6640625" customWidth="1"/>
  </cols>
  <sheetData>
    <row r="2" spans="1:9">
      <c r="C2" s="7" t="s">
        <v>730</v>
      </c>
      <c r="D2" s="7" t="s">
        <v>731</v>
      </c>
      <c r="E2" s="7"/>
      <c r="F2" s="7" t="s">
        <v>732</v>
      </c>
      <c r="G2" s="7" t="s">
        <v>733</v>
      </c>
      <c r="H2" s="7" t="s">
        <v>734</v>
      </c>
      <c r="I2" s="7" t="s">
        <v>735</v>
      </c>
    </row>
    <row r="3" spans="1:9" ht="14.4">
      <c r="A3" t="s">
        <v>736</v>
      </c>
      <c r="B3" s="7" t="s">
        <v>268</v>
      </c>
      <c r="C3" s="1145">
        <v>1651</v>
      </c>
      <c r="D3" s="1146">
        <f>+B19</f>
        <v>0</v>
      </c>
      <c r="E3" s="7"/>
      <c r="F3" s="1147">
        <f>+C3*(1+D3)</f>
        <v>1651</v>
      </c>
      <c r="G3" s="1147">
        <f>+F3</f>
        <v>1651</v>
      </c>
      <c r="H3" s="1148">
        <f>+F3</f>
        <v>1651</v>
      </c>
      <c r="I3" s="1149">
        <f>+(H3-C3)/C3</f>
        <v>0</v>
      </c>
    </row>
    <row r="4" spans="1:9" ht="14.4">
      <c r="A4" t="s">
        <v>263</v>
      </c>
      <c r="B4" s="7" t="s">
        <v>212</v>
      </c>
      <c r="C4" s="1150">
        <v>112.5</v>
      </c>
      <c r="D4" s="1151"/>
      <c r="E4" s="7"/>
      <c r="F4" s="1147">
        <f>+C4</f>
        <v>112.5</v>
      </c>
      <c r="G4" s="1152">
        <f>+G13/(G3*G7*0.21/100)</f>
        <v>112.50000000000001</v>
      </c>
      <c r="H4" s="1153">
        <f>+H13/(H3*H7*0.21/100)</f>
        <v>100.13846306003362</v>
      </c>
      <c r="I4" s="1149">
        <f>+(H4-C4)/C4</f>
        <v>-0.10988032835525675</v>
      </c>
    </row>
    <row r="5" spans="1:9" ht="14.4">
      <c r="A5" t="s">
        <v>518</v>
      </c>
      <c r="B5" s="7" t="s">
        <v>212</v>
      </c>
      <c r="C5" s="1150">
        <v>34.200000000000003</v>
      </c>
      <c r="D5" s="1154"/>
      <c r="E5" s="7"/>
      <c r="F5" s="1152">
        <f>+F13/F14*100</f>
        <v>34.20000000000001</v>
      </c>
      <c r="G5" s="1152">
        <f>+G13/G14*100</f>
        <v>34.20000000000001</v>
      </c>
      <c r="H5" s="1153">
        <f>+H13/H14*100</f>
        <v>34.20000000000001</v>
      </c>
      <c r="I5" s="1149">
        <f>+(H5-C5)/C5</f>
        <v>2.077610338479825E-16</v>
      </c>
    </row>
    <row r="6" spans="1:9" ht="14.4">
      <c r="B6" s="7"/>
      <c r="C6" s="1151"/>
      <c r="D6" s="1151"/>
      <c r="E6" s="7"/>
      <c r="F6" s="7"/>
      <c r="G6" s="7"/>
      <c r="H6" s="1151"/>
      <c r="I6" s="1155"/>
    </row>
    <row r="7" spans="1:9" ht="14.4">
      <c r="A7" t="s">
        <v>737</v>
      </c>
      <c r="B7" s="7" t="s">
        <v>738</v>
      </c>
      <c r="C7" s="1150">
        <v>9</v>
      </c>
      <c r="D7" s="1154"/>
      <c r="E7" s="7"/>
      <c r="F7" s="1152">
        <f>+C7</f>
        <v>9</v>
      </c>
      <c r="G7" s="262">
        <v>9</v>
      </c>
      <c r="H7" s="1156">
        <v>10.111000000000001</v>
      </c>
      <c r="I7" s="1149">
        <f>+(H7-C7)/C7</f>
        <v>0.12344444444444452</v>
      </c>
    </row>
    <row r="8" spans="1:9" ht="14.4">
      <c r="A8" t="s">
        <v>565</v>
      </c>
      <c r="B8" s="7" t="s">
        <v>268</v>
      </c>
      <c r="C8" s="1148">
        <f>+C14-C9</f>
        <v>8504.8223684210516</v>
      </c>
      <c r="D8" s="1157">
        <f>+B21</f>
        <v>0</v>
      </c>
      <c r="E8" s="7"/>
      <c r="F8" s="1147">
        <f>+C8*(1+D8)</f>
        <v>8504.8223684210516</v>
      </c>
      <c r="G8" s="1147">
        <f>+F8</f>
        <v>8504.8223684210516</v>
      </c>
      <c r="H8" s="1158">
        <f>+G8</f>
        <v>8504.8223684210516</v>
      </c>
      <c r="I8" s="1149">
        <f>+(H8-C8)/C8</f>
        <v>0</v>
      </c>
    </row>
    <row r="9" spans="1:9" ht="14.4">
      <c r="A9" t="s">
        <v>227</v>
      </c>
      <c r="B9" s="7" t="s">
        <v>268</v>
      </c>
      <c r="C9" s="1148">
        <f>+(C13-0.21*C14)/(0.98-0.21)</f>
        <v>1759.6184210526319</v>
      </c>
      <c r="D9" s="1157">
        <f>+B20</f>
        <v>0</v>
      </c>
      <c r="E9" s="7"/>
      <c r="F9" s="1147">
        <f>+C9*(1+D9)</f>
        <v>1759.6184210526319</v>
      </c>
      <c r="G9" s="1159">
        <f>+F9</f>
        <v>1759.6184210526319</v>
      </c>
      <c r="H9" s="1158">
        <f>+G9</f>
        <v>1759.6184210526319</v>
      </c>
      <c r="I9" s="1149">
        <f>+(H9-C9)/C9</f>
        <v>0</v>
      </c>
    </row>
    <row r="10" spans="1:9" ht="14.4">
      <c r="A10" t="s">
        <v>739</v>
      </c>
      <c r="B10" s="7" t="s">
        <v>268</v>
      </c>
      <c r="C10" s="1148">
        <f t="shared" ref="C10:H10" si="0">+C8+C9</f>
        <v>10264.440789473683</v>
      </c>
      <c r="D10" s="1157">
        <f t="shared" si="0"/>
        <v>0</v>
      </c>
      <c r="E10" s="7">
        <f t="shared" si="0"/>
        <v>0</v>
      </c>
      <c r="F10" s="1147">
        <f t="shared" si="0"/>
        <v>10264.440789473683</v>
      </c>
      <c r="G10" s="1159">
        <f t="shared" si="0"/>
        <v>10264.440789473683</v>
      </c>
      <c r="H10" s="1158">
        <f t="shared" si="0"/>
        <v>10264.440789473683</v>
      </c>
      <c r="I10" s="1149">
        <f>+(H10-C10)/C10</f>
        <v>0</v>
      </c>
    </row>
    <row r="11" spans="1:9">
      <c r="C11" s="1151"/>
      <c r="D11" s="1151"/>
      <c r="E11" s="7"/>
      <c r="F11" s="7"/>
      <c r="G11" s="7"/>
      <c r="H11" s="1151"/>
    </row>
    <row r="12" spans="1:9" hidden="1">
      <c r="C12" s="1151"/>
      <c r="D12" s="1151"/>
      <c r="E12" s="7"/>
      <c r="F12" s="7"/>
      <c r="G12" s="7"/>
      <c r="H12" s="1151"/>
    </row>
    <row r="13" spans="1:9" ht="14.4" hidden="1">
      <c r="A13" t="s">
        <v>740</v>
      </c>
      <c r="C13" s="1148">
        <f>+C3*C7*0.21*C4/100</f>
        <v>3510.4387499999998</v>
      </c>
      <c r="D13" s="1151"/>
      <c r="E13" s="7"/>
      <c r="F13" s="1159">
        <f>+F8*0.21+F9*0.98</f>
        <v>3510.4387500000003</v>
      </c>
      <c r="G13" s="1151">
        <f>+F13</f>
        <v>3510.4387500000003</v>
      </c>
      <c r="H13" s="1158">
        <f>+G13</f>
        <v>3510.4387500000003</v>
      </c>
    </row>
    <row r="14" spans="1:9" ht="14.4" hidden="1">
      <c r="A14" t="s">
        <v>741</v>
      </c>
      <c r="C14" s="1148">
        <f>+C13/C5*100</f>
        <v>10264.440789473683</v>
      </c>
      <c r="D14" s="1151"/>
      <c r="E14" s="7"/>
      <c r="F14" s="1159">
        <f>+F8+F9</f>
        <v>10264.440789473683</v>
      </c>
      <c r="G14" s="1159">
        <f>+G8+G9</f>
        <v>10264.440789473683</v>
      </c>
      <c r="H14" s="1158">
        <f>+H8+H9</f>
        <v>10264.440789473683</v>
      </c>
    </row>
    <row r="17" spans="1:2" ht="14.4">
      <c r="A17" s="1160"/>
      <c r="B17" s="1161" t="s">
        <v>735</v>
      </c>
    </row>
    <row r="18" spans="1:2" ht="14.4">
      <c r="A18" s="1162"/>
      <c r="B18" s="1163" t="s">
        <v>742</v>
      </c>
    </row>
    <row r="19" spans="1:2" ht="14.4">
      <c r="A19" s="1164" t="s">
        <v>736</v>
      </c>
      <c r="B19" s="1165">
        <v>0</v>
      </c>
    </row>
    <row r="20" spans="1:2" ht="14.4">
      <c r="A20" s="1164" t="s">
        <v>227</v>
      </c>
      <c r="B20" s="1165">
        <v>0</v>
      </c>
    </row>
    <row r="21" spans="1:2" ht="14.4">
      <c r="A21" s="1162" t="s">
        <v>565</v>
      </c>
      <c r="B21" s="1166"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6971C-1344-4930-89DF-27AB735317BB}">
  <sheetPr codeName="Hoja2"/>
  <dimension ref="A1:HG67"/>
  <sheetViews>
    <sheetView zoomScale="65" zoomScaleNormal="65" zoomScaleSheetLayoutView="65" workbookViewId="0">
      <selection activeCell="K31" sqref="K31:K34"/>
    </sheetView>
  </sheetViews>
  <sheetFormatPr baseColWidth="10" defaultColWidth="15.6640625" defaultRowHeight="13.2"/>
  <cols>
    <col min="1" max="1" width="13.88671875" style="8" customWidth="1"/>
    <col min="2" max="2" width="11.88671875" style="8" customWidth="1"/>
    <col min="3" max="3" width="16.44140625" style="8" bestFit="1" customWidth="1"/>
    <col min="4" max="4" width="11.5546875" style="8" bestFit="1" customWidth="1"/>
    <col min="5" max="5" width="11.88671875" style="8" bestFit="1" customWidth="1"/>
    <col min="6" max="6" width="14.5546875" style="8" customWidth="1"/>
    <col min="7" max="10" width="14.44140625" style="8" customWidth="1"/>
    <col min="11" max="15" width="10.6640625" style="8" customWidth="1"/>
    <col min="16" max="16" width="10.5546875" style="8" customWidth="1"/>
    <col min="17" max="18" width="10.88671875" style="8" customWidth="1"/>
    <col min="19" max="19" width="11.33203125" style="8" customWidth="1"/>
    <col min="20" max="20" width="9.44140625" style="8" customWidth="1"/>
    <col min="21" max="21" width="14.44140625" style="8" customWidth="1"/>
    <col min="22" max="22" width="9.109375" style="8" bestFit="1" customWidth="1"/>
    <col min="23" max="23" width="19.44140625" style="8" customWidth="1"/>
    <col min="24" max="25" width="9.44140625" style="10" bestFit="1" customWidth="1"/>
    <col min="26" max="16384" width="15.6640625" style="8"/>
  </cols>
  <sheetData>
    <row r="1" spans="1:215">
      <c r="D1" s="9"/>
    </row>
    <row r="3" spans="1:215" ht="30">
      <c r="A3" s="1397" t="s">
        <v>16</v>
      </c>
      <c r="B3" s="1397"/>
      <c r="C3" s="1397"/>
      <c r="D3" s="1397"/>
      <c r="E3" s="1397"/>
      <c r="F3" s="1397"/>
      <c r="G3" s="1397"/>
      <c r="H3" s="1397"/>
      <c r="I3" s="1397"/>
      <c r="J3" s="1397"/>
      <c r="K3" s="1397"/>
      <c r="L3" s="1397"/>
      <c r="M3" s="1397"/>
      <c r="N3" s="1397"/>
      <c r="O3" s="1397"/>
      <c r="P3" s="1397"/>
      <c r="Q3" s="1397"/>
      <c r="R3" s="1397"/>
      <c r="S3" s="1397"/>
      <c r="T3" s="11"/>
      <c r="U3" s="11"/>
    </row>
    <row r="4" spans="1:215" ht="19.5" customHeight="1" thickBot="1"/>
    <row r="5" spans="1:215" ht="30" customHeight="1" thickBot="1">
      <c r="A5" s="1351" t="s">
        <v>17</v>
      </c>
      <c r="B5" s="1352"/>
      <c r="C5" s="1352"/>
      <c r="D5" s="1352"/>
      <c r="E5" s="1352"/>
      <c r="F5" s="1352"/>
      <c r="G5" s="1352"/>
      <c r="H5" s="1352"/>
      <c r="I5" s="1352"/>
      <c r="J5" s="1352"/>
      <c r="K5" s="1352"/>
      <c r="L5" s="1352"/>
      <c r="M5" s="1352"/>
      <c r="N5" s="1352"/>
      <c r="O5" s="1352"/>
      <c r="P5" s="1352"/>
      <c r="Q5" s="1352"/>
      <c r="R5" s="1352"/>
      <c r="S5" s="1353"/>
      <c r="V5" s="12"/>
      <c r="W5" s="12"/>
      <c r="X5" s="13"/>
      <c r="Y5" s="13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</row>
    <row r="6" spans="1:215" ht="24" customHeight="1">
      <c r="A6" s="1360" t="s">
        <v>18</v>
      </c>
      <c r="B6" s="1371" t="s">
        <v>19</v>
      </c>
      <c r="C6" s="1374" t="s">
        <v>20</v>
      </c>
      <c r="D6" s="1375"/>
      <c r="E6" s="1375"/>
      <c r="F6" s="1376"/>
      <c r="G6" s="1377" t="s">
        <v>21</v>
      </c>
      <c r="H6" s="1378"/>
      <c r="I6" s="1378"/>
      <c r="J6" s="1379"/>
      <c r="K6" s="1425" t="s">
        <v>22</v>
      </c>
      <c r="L6" s="1426"/>
      <c r="M6" s="1427"/>
      <c r="N6" s="1368" t="s">
        <v>23</v>
      </c>
      <c r="O6" s="1365" t="s">
        <v>24</v>
      </c>
      <c r="P6" s="1357" t="s">
        <v>25</v>
      </c>
      <c r="Q6" s="1354" t="s">
        <v>26</v>
      </c>
      <c r="R6" s="1398" t="s">
        <v>27</v>
      </c>
      <c r="S6" s="1399"/>
      <c r="V6" s="10"/>
      <c r="W6" s="10"/>
      <c r="X6" s="8"/>
      <c r="Y6" s="8"/>
    </row>
    <row r="7" spans="1:215" ht="21.75" customHeight="1">
      <c r="A7" s="1361"/>
      <c r="B7" s="1372"/>
      <c r="C7" s="1286" t="s">
        <v>28</v>
      </c>
      <c r="D7" s="1288" t="s">
        <v>29</v>
      </c>
      <c r="E7" s="1288" t="s">
        <v>30</v>
      </c>
      <c r="F7" s="1290" t="s">
        <v>31</v>
      </c>
      <c r="G7" s="1294" t="s">
        <v>32</v>
      </c>
      <c r="H7" s="1295"/>
      <c r="I7" s="1292" t="s">
        <v>33</v>
      </c>
      <c r="J7" s="1306" t="s">
        <v>34</v>
      </c>
      <c r="K7" s="1363" t="s">
        <v>35</v>
      </c>
      <c r="L7" s="1335" t="s">
        <v>36</v>
      </c>
      <c r="M7" s="1428" t="s">
        <v>37</v>
      </c>
      <c r="N7" s="1369"/>
      <c r="O7" s="1366"/>
      <c r="P7" s="1358"/>
      <c r="Q7" s="1355"/>
      <c r="R7" s="1400" t="s">
        <v>91</v>
      </c>
      <c r="S7" s="1401"/>
      <c r="V7" s="10"/>
      <c r="W7" s="10"/>
      <c r="X7" s="8"/>
      <c r="Y7" s="8"/>
    </row>
    <row r="8" spans="1:215" ht="34.5" customHeight="1" thickBot="1">
      <c r="A8" s="1362"/>
      <c r="B8" s="1373"/>
      <c r="C8" s="1287"/>
      <c r="D8" s="1289"/>
      <c r="E8" s="1289"/>
      <c r="F8" s="1291"/>
      <c r="G8" s="14" t="s">
        <v>38</v>
      </c>
      <c r="H8" s="15" t="s">
        <v>39</v>
      </c>
      <c r="I8" s="1293"/>
      <c r="J8" s="1307"/>
      <c r="K8" s="1364"/>
      <c r="L8" s="1336"/>
      <c r="M8" s="1429"/>
      <c r="N8" s="1370"/>
      <c r="O8" s="1367"/>
      <c r="P8" s="1359"/>
      <c r="Q8" s="1356"/>
      <c r="R8" s="16" t="s">
        <v>40</v>
      </c>
      <c r="S8" s="17" t="s">
        <v>41</v>
      </c>
      <c r="V8" s="10"/>
      <c r="W8" s="10"/>
      <c r="X8" s="8"/>
      <c r="Y8" s="8"/>
    </row>
    <row r="9" spans="1:215" ht="15" customHeight="1">
      <c r="A9" s="1344">
        <v>3102848</v>
      </c>
      <c r="B9" s="1349">
        <v>86</v>
      </c>
      <c r="C9" s="18" t="s">
        <v>42</v>
      </c>
      <c r="D9" s="19" t="s">
        <v>43</v>
      </c>
      <c r="E9" s="20">
        <v>8.1950860982780291</v>
      </c>
      <c r="F9" s="1310">
        <v>60</v>
      </c>
      <c r="G9" s="1302">
        <v>9</v>
      </c>
      <c r="H9" s="1283">
        <v>0</v>
      </c>
      <c r="I9" s="1282">
        <v>3</v>
      </c>
      <c r="J9" s="1305">
        <f>SUM(G9:I11)</f>
        <v>12</v>
      </c>
      <c r="K9" s="1340">
        <v>6</v>
      </c>
      <c r="L9" s="1282">
        <v>9</v>
      </c>
      <c r="M9" s="1331">
        <v>1</v>
      </c>
      <c r="N9" s="1325">
        <v>2</v>
      </c>
      <c r="O9" s="1405">
        <v>2</v>
      </c>
      <c r="P9" s="1325">
        <v>0.4</v>
      </c>
      <c r="Q9" s="1430">
        <f>(O9+N9+M9+L9+K9)/F9</f>
        <v>0.33333333333333331</v>
      </c>
      <c r="R9" s="1402">
        <v>0.8</v>
      </c>
      <c r="S9" s="1408">
        <v>0.81388854715097436</v>
      </c>
      <c r="U9" s="3"/>
      <c r="V9" s="21"/>
      <c r="W9" s="10"/>
      <c r="X9" s="8"/>
      <c r="Y9" s="8"/>
    </row>
    <row r="10" spans="1:215" ht="15" customHeight="1">
      <c r="A10" s="1345"/>
      <c r="B10" s="1334"/>
      <c r="C10" s="22" t="s">
        <v>42</v>
      </c>
      <c r="D10" s="23" t="s">
        <v>44</v>
      </c>
      <c r="E10" s="24">
        <v>30.369697617266802</v>
      </c>
      <c r="F10" s="1311"/>
      <c r="G10" s="1303"/>
      <c r="H10" s="1283"/>
      <c r="I10" s="1283"/>
      <c r="J10" s="1296"/>
      <c r="K10" s="1339"/>
      <c r="L10" s="1283"/>
      <c r="M10" s="1332"/>
      <c r="N10" s="1326"/>
      <c r="O10" s="1406"/>
      <c r="P10" s="1326"/>
      <c r="Q10" s="1431"/>
      <c r="R10" s="1403"/>
      <c r="S10" s="1409"/>
      <c r="U10" s="3"/>
      <c r="V10" s="21"/>
      <c r="W10" s="10"/>
      <c r="X10" s="8"/>
      <c r="Y10" s="8"/>
    </row>
    <row r="11" spans="1:215" ht="15" customHeight="1">
      <c r="A11" s="1345"/>
      <c r="B11" s="1334"/>
      <c r="C11" s="26" t="s">
        <v>42</v>
      </c>
      <c r="D11" s="27" t="s">
        <v>45</v>
      </c>
      <c r="E11" s="28">
        <v>21.435214996337891</v>
      </c>
      <c r="F11" s="1296"/>
      <c r="G11" s="1304"/>
      <c r="H11" s="1284"/>
      <c r="I11" s="1284"/>
      <c r="J11" s="1298"/>
      <c r="K11" s="1341"/>
      <c r="L11" s="1284"/>
      <c r="M11" s="1297"/>
      <c r="N11" s="1327"/>
      <c r="O11" s="1407"/>
      <c r="P11" s="1327"/>
      <c r="Q11" s="1431"/>
      <c r="R11" s="1403"/>
      <c r="S11" s="1409"/>
      <c r="U11" s="3"/>
      <c r="V11" s="21"/>
      <c r="W11" s="10"/>
      <c r="X11" s="8"/>
      <c r="Y11" s="8"/>
    </row>
    <row r="12" spans="1:215" ht="15" customHeight="1">
      <c r="A12" s="1345"/>
      <c r="B12" s="1334">
        <f>B9+1</f>
        <v>87</v>
      </c>
      <c r="C12" s="22" t="s">
        <v>42</v>
      </c>
      <c r="D12" s="23" t="s">
        <v>45</v>
      </c>
      <c r="E12" s="24">
        <v>4.545257568359375</v>
      </c>
      <c r="F12" s="1298">
        <f>SUM(E12:E14)</f>
        <v>59.999998151806324</v>
      </c>
      <c r="G12" s="1301">
        <v>9</v>
      </c>
      <c r="H12" s="1285">
        <v>0</v>
      </c>
      <c r="I12" s="1285">
        <v>3</v>
      </c>
      <c r="J12" s="1298">
        <f>SUM(G12:I14)</f>
        <v>12</v>
      </c>
      <c r="K12" s="1338">
        <v>6</v>
      </c>
      <c r="L12" s="1323">
        <v>9</v>
      </c>
      <c r="M12" s="1324">
        <v>1</v>
      </c>
      <c r="N12" s="1387">
        <v>2</v>
      </c>
      <c r="O12" s="1411">
        <v>2</v>
      </c>
      <c r="P12" s="1387">
        <v>0.4</v>
      </c>
      <c r="Q12" s="1431"/>
      <c r="R12" s="1403"/>
      <c r="S12" s="1409"/>
      <c r="U12" s="3"/>
      <c r="V12" s="21"/>
      <c r="W12" s="10"/>
      <c r="X12" s="8"/>
      <c r="Y12" s="8"/>
    </row>
    <row r="13" spans="1:215" ht="15" customHeight="1">
      <c r="A13" s="1345"/>
      <c r="B13" s="1334"/>
      <c r="C13" s="22" t="s">
        <v>42</v>
      </c>
      <c r="D13" s="23" t="s">
        <v>46</v>
      </c>
      <c r="E13" s="24">
        <v>29.460393964794601</v>
      </c>
      <c r="F13" s="1298"/>
      <c r="G13" s="1301"/>
      <c r="H13" s="1285"/>
      <c r="I13" s="1285"/>
      <c r="J13" s="1298"/>
      <c r="K13" s="1339"/>
      <c r="L13" s="1283"/>
      <c r="M13" s="1324"/>
      <c r="N13" s="1387"/>
      <c r="O13" s="1411"/>
      <c r="P13" s="1387"/>
      <c r="Q13" s="1431"/>
      <c r="R13" s="1403"/>
      <c r="S13" s="1409"/>
      <c r="U13" s="3"/>
      <c r="V13" s="21"/>
      <c r="W13" s="10"/>
      <c r="X13" s="8"/>
      <c r="Y13" s="8"/>
    </row>
    <row r="14" spans="1:215" ht="15" customHeight="1">
      <c r="A14" s="1345"/>
      <c r="B14" s="1334"/>
      <c r="C14" s="22" t="s">
        <v>42</v>
      </c>
      <c r="D14" s="23" t="s">
        <v>47</v>
      </c>
      <c r="E14" s="24">
        <v>25.994346618652344</v>
      </c>
      <c r="F14" s="1298"/>
      <c r="G14" s="1301"/>
      <c r="H14" s="1285"/>
      <c r="I14" s="1285"/>
      <c r="J14" s="1298"/>
      <c r="K14" s="1339"/>
      <c r="L14" s="1283"/>
      <c r="M14" s="1324"/>
      <c r="N14" s="1387"/>
      <c r="O14" s="1411"/>
      <c r="P14" s="1387"/>
      <c r="Q14" s="1431"/>
      <c r="R14" s="1403"/>
      <c r="S14" s="1409"/>
      <c r="V14" s="21"/>
      <c r="W14" s="30"/>
      <c r="X14" s="8"/>
      <c r="Y14" s="8"/>
    </row>
    <row r="15" spans="1:215" ht="15" customHeight="1">
      <c r="A15" s="1345"/>
      <c r="B15" s="1334">
        <f>B12+1</f>
        <v>88</v>
      </c>
      <c r="C15" s="31" t="s">
        <v>42</v>
      </c>
      <c r="D15" s="32" t="s">
        <v>47</v>
      </c>
      <c r="E15" s="33">
        <v>3.2155990600585938</v>
      </c>
      <c r="F15" s="1299">
        <f>SUM(E15:E17)</f>
        <v>60.000000214209251</v>
      </c>
      <c r="G15" s="1301">
        <v>9</v>
      </c>
      <c r="H15" s="1285">
        <v>0</v>
      </c>
      <c r="I15" s="1285">
        <v>3</v>
      </c>
      <c r="J15" s="1299">
        <f>SUM(G15:I17)</f>
        <v>12</v>
      </c>
      <c r="K15" s="1338">
        <v>6</v>
      </c>
      <c r="L15" s="1323">
        <v>9</v>
      </c>
      <c r="M15" s="1324">
        <v>1</v>
      </c>
      <c r="N15" s="1387">
        <v>2</v>
      </c>
      <c r="O15" s="1333">
        <v>2</v>
      </c>
      <c r="P15" s="1328">
        <v>0.4</v>
      </c>
      <c r="Q15" s="1431"/>
      <c r="R15" s="1403"/>
      <c r="S15" s="1409"/>
      <c r="U15" s="3"/>
      <c r="V15" s="21"/>
      <c r="W15" s="10"/>
      <c r="X15" s="8"/>
      <c r="Y15" s="8"/>
    </row>
    <row r="16" spans="1:215" ht="15" customHeight="1">
      <c r="A16" s="1345"/>
      <c r="B16" s="1334"/>
      <c r="C16" s="22" t="s">
        <v>42</v>
      </c>
      <c r="D16" s="23" t="s">
        <v>48</v>
      </c>
      <c r="E16" s="24">
        <v>27.179649567236599</v>
      </c>
      <c r="F16" s="1300"/>
      <c r="G16" s="1301"/>
      <c r="H16" s="1285"/>
      <c r="I16" s="1285"/>
      <c r="J16" s="1300"/>
      <c r="K16" s="1339"/>
      <c r="L16" s="1283"/>
      <c r="M16" s="1324"/>
      <c r="N16" s="1387"/>
      <c r="O16" s="1435"/>
      <c r="P16" s="1382"/>
      <c r="Q16" s="1431"/>
      <c r="R16" s="1403"/>
      <c r="S16" s="1409"/>
      <c r="U16" s="6"/>
      <c r="V16" s="21"/>
      <c r="W16" s="34"/>
      <c r="X16" s="8"/>
      <c r="Y16" s="8"/>
    </row>
    <row r="17" spans="1:213" ht="15" customHeight="1">
      <c r="A17" s="1345"/>
      <c r="B17" s="1334"/>
      <c r="C17" s="26" t="s">
        <v>42</v>
      </c>
      <c r="D17" s="27" t="s">
        <v>49</v>
      </c>
      <c r="E17" s="28">
        <v>29.604751586914063</v>
      </c>
      <c r="F17" s="1299"/>
      <c r="G17" s="1301"/>
      <c r="H17" s="1285"/>
      <c r="I17" s="1285"/>
      <c r="J17" s="1299"/>
      <c r="K17" s="1339"/>
      <c r="L17" s="1283"/>
      <c r="M17" s="1324"/>
      <c r="N17" s="1387"/>
      <c r="O17" s="1333"/>
      <c r="P17" s="1328"/>
      <c r="Q17" s="1431"/>
      <c r="R17" s="1403"/>
      <c r="S17" s="1409"/>
      <c r="U17" s="3"/>
      <c r="V17" s="21"/>
      <c r="W17" s="10"/>
      <c r="X17" s="8"/>
      <c r="Y17" s="8"/>
    </row>
    <row r="18" spans="1:213" ht="15" customHeight="1">
      <c r="A18" s="1345"/>
      <c r="B18" s="1334">
        <f>B15+1</f>
        <v>89</v>
      </c>
      <c r="C18" s="31" t="s">
        <v>42</v>
      </c>
      <c r="D18" s="32" t="s">
        <v>49</v>
      </c>
      <c r="E18" s="33">
        <v>0.44526290893554688</v>
      </c>
      <c r="F18" s="1296">
        <f>SUM(E18:E20)</f>
        <v>59.999999167297929</v>
      </c>
      <c r="G18" s="1301">
        <v>7</v>
      </c>
      <c r="H18" s="1285">
        <v>2</v>
      </c>
      <c r="I18" s="1285">
        <v>3</v>
      </c>
      <c r="J18" s="1296">
        <f>SUM(G18:I20)</f>
        <v>12</v>
      </c>
      <c r="K18" s="1338">
        <v>6</v>
      </c>
      <c r="L18" s="1323">
        <v>9</v>
      </c>
      <c r="M18" s="1324">
        <v>1</v>
      </c>
      <c r="N18" s="1387">
        <v>2</v>
      </c>
      <c r="O18" s="1407">
        <v>2</v>
      </c>
      <c r="P18" s="1328">
        <v>0.4</v>
      </c>
      <c r="Q18" s="1431"/>
      <c r="R18" s="1403"/>
      <c r="S18" s="1409"/>
      <c r="U18" s="3"/>
      <c r="V18" s="21"/>
      <c r="W18" s="30"/>
      <c r="X18" s="8"/>
      <c r="Y18" s="8"/>
    </row>
    <row r="19" spans="1:213" ht="15" customHeight="1">
      <c r="A19" s="1345"/>
      <c r="B19" s="1334"/>
      <c r="C19" s="22" t="s">
        <v>42</v>
      </c>
      <c r="D19" s="23" t="s">
        <v>50</v>
      </c>
      <c r="E19" s="24">
        <v>30.189543845032301</v>
      </c>
      <c r="F19" s="1297"/>
      <c r="G19" s="1301"/>
      <c r="H19" s="1285"/>
      <c r="I19" s="1285"/>
      <c r="J19" s="1296"/>
      <c r="K19" s="1339"/>
      <c r="L19" s="1283"/>
      <c r="M19" s="1324"/>
      <c r="N19" s="1387"/>
      <c r="O19" s="1407"/>
      <c r="P19" s="1382"/>
      <c r="Q19" s="1431"/>
      <c r="R19" s="1403"/>
      <c r="S19" s="1409"/>
      <c r="U19" s="3"/>
      <c r="V19" s="21"/>
      <c r="W19" s="10"/>
      <c r="X19" s="8"/>
      <c r="Y19" s="8"/>
    </row>
    <row r="20" spans="1:213" ht="15" customHeight="1">
      <c r="A20" s="1345"/>
      <c r="B20" s="1334"/>
      <c r="C20" s="26" t="s">
        <v>42</v>
      </c>
      <c r="D20" s="27" t="s">
        <v>51</v>
      </c>
      <c r="E20" s="28">
        <v>29.365192413330078</v>
      </c>
      <c r="F20" s="1298"/>
      <c r="G20" s="1301"/>
      <c r="H20" s="1285"/>
      <c r="I20" s="1285"/>
      <c r="J20" s="1298"/>
      <c r="K20" s="1339"/>
      <c r="L20" s="1283"/>
      <c r="M20" s="1324"/>
      <c r="N20" s="1387"/>
      <c r="O20" s="1411"/>
      <c r="P20" s="1328"/>
      <c r="Q20" s="1431"/>
      <c r="R20" s="1403"/>
      <c r="S20" s="1409"/>
      <c r="U20" s="3"/>
      <c r="X20" s="8"/>
      <c r="Y20" s="8"/>
    </row>
    <row r="21" spans="1:213" ht="15" customHeight="1">
      <c r="A21" s="1345"/>
      <c r="B21" s="1334">
        <f>B18+1</f>
        <v>90</v>
      </c>
      <c r="C21" s="31" t="s">
        <v>42</v>
      </c>
      <c r="D21" s="32" t="s">
        <v>51</v>
      </c>
      <c r="E21" s="33">
        <v>0.49470901489257813</v>
      </c>
      <c r="F21" s="1299">
        <f>SUM(E21:E24)</f>
        <v>60.000000039990532</v>
      </c>
      <c r="G21" s="1301">
        <v>7</v>
      </c>
      <c r="H21" s="1285">
        <v>2</v>
      </c>
      <c r="I21" s="1285">
        <v>3</v>
      </c>
      <c r="J21" s="1299">
        <f>SUM(G21:I24)</f>
        <v>12</v>
      </c>
      <c r="K21" s="1338">
        <v>6</v>
      </c>
      <c r="L21" s="1323">
        <v>9</v>
      </c>
      <c r="M21" s="1324">
        <v>1</v>
      </c>
      <c r="N21" s="1387">
        <v>2</v>
      </c>
      <c r="O21" s="1333">
        <v>2</v>
      </c>
      <c r="P21" s="1328">
        <v>0.4</v>
      </c>
      <c r="Q21" s="1431"/>
      <c r="R21" s="1403"/>
      <c r="S21" s="1409"/>
      <c r="U21" s="3"/>
      <c r="V21" s="21"/>
      <c r="W21" s="10"/>
      <c r="X21" s="8"/>
      <c r="Y21" s="8"/>
    </row>
    <row r="22" spans="1:213" ht="15" customHeight="1">
      <c r="A22" s="1345"/>
      <c r="B22" s="1334"/>
      <c r="C22" s="22" t="s">
        <v>42</v>
      </c>
      <c r="D22" s="23" t="s">
        <v>52</v>
      </c>
      <c r="E22" s="24">
        <v>30.129842710862501</v>
      </c>
      <c r="F22" s="1299"/>
      <c r="G22" s="1301"/>
      <c r="H22" s="1285"/>
      <c r="I22" s="1285"/>
      <c r="J22" s="1299"/>
      <c r="K22" s="1339"/>
      <c r="L22" s="1283"/>
      <c r="M22" s="1324"/>
      <c r="N22" s="1387"/>
      <c r="O22" s="1333"/>
      <c r="P22" s="1382"/>
      <c r="Q22" s="1431"/>
      <c r="R22" s="1403"/>
      <c r="S22" s="1409"/>
      <c r="U22" s="3"/>
      <c r="V22" s="21"/>
      <c r="W22" s="10"/>
      <c r="X22" s="8"/>
      <c r="Y22" s="8"/>
    </row>
    <row r="23" spans="1:213" ht="15" customHeight="1">
      <c r="A23" s="1345"/>
      <c r="B23" s="1334"/>
      <c r="C23" s="22" t="s">
        <v>42</v>
      </c>
      <c r="D23" s="23" t="s">
        <v>53</v>
      </c>
      <c r="E23" s="24">
        <v>26.449861613795999</v>
      </c>
      <c r="F23" s="1299"/>
      <c r="G23" s="1301"/>
      <c r="H23" s="1285"/>
      <c r="I23" s="1285"/>
      <c r="J23" s="1299"/>
      <c r="K23" s="1339"/>
      <c r="L23" s="1283"/>
      <c r="M23" s="1324"/>
      <c r="N23" s="1387"/>
      <c r="O23" s="1333"/>
      <c r="P23" s="1382"/>
      <c r="Q23" s="1431"/>
      <c r="R23" s="1403"/>
      <c r="S23" s="1409"/>
      <c r="U23" s="3"/>
      <c r="V23" s="21"/>
      <c r="W23" s="10"/>
      <c r="X23" s="8"/>
      <c r="Y23" s="8"/>
    </row>
    <row r="24" spans="1:213" ht="15" customHeight="1">
      <c r="A24" s="1345"/>
      <c r="B24" s="1334"/>
      <c r="C24" s="26" t="s">
        <v>42</v>
      </c>
      <c r="D24" s="27" t="s">
        <v>54</v>
      </c>
      <c r="E24" s="28">
        <v>2.9255867004394531</v>
      </c>
      <c r="F24" s="1299"/>
      <c r="G24" s="1301"/>
      <c r="H24" s="1285"/>
      <c r="I24" s="1285"/>
      <c r="J24" s="1299"/>
      <c r="K24" s="1339"/>
      <c r="L24" s="1283"/>
      <c r="M24" s="1324"/>
      <c r="N24" s="1387"/>
      <c r="O24" s="1333"/>
      <c r="P24" s="1328"/>
      <c r="Q24" s="1431"/>
      <c r="R24" s="1403"/>
      <c r="S24" s="1409"/>
      <c r="U24" s="3"/>
      <c r="V24" s="21"/>
      <c r="W24" s="10"/>
      <c r="X24" s="8"/>
      <c r="Y24" s="8"/>
    </row>
    <row r="25" spans="1:213" ht="15" customHeight="1">
      <c r="A25" s="1345"/>
      <c r="B25" s="1334">
        <f>B21+1</f>
        <v>91</v>
      </c>
      <c r="C25" s="22" t="s">
        <v>42</v>
      </c>
      <c r="D25" s="23" t="s">
        <v>54</v>
      </c>
      <c r="E25" s="24">
        <v>25.334781646728516</v>
      </c>
      <c r="F25" s="1312">
        <f>SUM(E25:E27)</f>
        <v>60.00000132400141</v>
      </c>
      <c r="G25" s="1301">
        <v>7</v>
      </c>
      <c r="H25" s="1285">
        <v>2</v>
      </c>
      <c r="I25" s="1285">
        <v>3</v>
      </c>
      <c r="J25" s="1300">
        <f>SUM(G25:I27)</f>
        <v>12</v>
      </c>
      <c r="K25" s="1338">
        <v>6</v>
      </c>
      <c r="L25" s="1323">
        <v>9</v>
      </c>
      <c r="M25" s="1324">
        <v>1</v>
      </c>
      <c r="N25" s="1387">
        <v>2</v>
      </c>
      <c r="O25" s="1436">
        <v>2</v>
      </c>
      <c r="P25" s="1328">
        <v>0.4</v>
      </c>
      <c r="Q25" s="1431"/>
      <c r="R25" s="1403"/>
      <c r="S25" s="1409"/>
      <c r="U25" s="3"/>
      <c r="V25" s="21"/>
      <c r="W25" s="10"/>
      <c r="X25" s="8"/>
      <c r="Y25" s="8"/>
    </row>
    <row r="26" spans="1:213" ht="15" customHeight="1">
      <c r="A26" s="1345"/>
      <c r="B26" s="1334"/>
      <c r="C26" s="22" t="s">
        <v>42</v>
      </c>
      <c r="D26" s="23" t="s">
        <v>55</v>
      </c>
      <c r="E26" s="24">
        <v>27.6202749140893</v>
      </c>
      <c r="F26" s="1312"/>
      <c r="G26" s="1301"/>
      <c r="H26" s="1285"/>
      <c r="I26" s="1285"/>
      <c r="J26" s="1300"/>
      <c r="K26" s="1339"/>
      <c r="L26" s="1283"/>
      <c r="M26" s="1324"/>
      <c r="N26" s="1387"/>
      <c r="O26" s="1436"/>
      <c r="P26" s="1382"/>
      <c r="Q26" s="1431"/>
      <c r="R26" s="1403"/>
      <c r="S26" s="1409"/>
      <c r="U26" s="3"/>
      <c r="V26" s="21"/>
      <c r="W26" s="10"/>
      <c r="X26" s="8"/>
      <c r="Y26" s="8"/>
    </row>
    <row r="27" spans="1:213" ht="15" customHeight="1">
      <c r="A27" s="1345"/>
      <c r="B27" s="1334"/>
      <c r="C27" s="26" t="s">
        <v>42</v>
      </c>
      <c r="D27" s="27" t="s">
        <v>56</v>
      </c>
      <c r="E27" s="28">
        <v>7.0449447631835938</v>
      </c>
      <c r="F27" s="1300"/>
      <c r="G27" s="1301"/>
      <c r="H27" s="1285"/>
      <c r="I27" s="1285"/>
      <c r="J27" s="1299"/>
      <c r="K27" s="1339"/>
      <c r="L27" s="1283"/>
      <c r="M27" s="1324"/>
      <c r="N27" s="1387"/>
      <c r="O27" s="1435"/>
      <c r="P27" s="1328"/>
      <c r="Q27" s="1431"/>
      <c r="R27" s="1403"/>
      <c r="S27" s="1409"/>
      <c r="U27" s="3"/>
      <c r="V27" s="21"/>
      <c r="W27" s="10"/>
      <c r="X27" s="8"/>
      <c r="Y27" s="8"/>
    </row>
    <row r="28" spans="1:213" ht="15" customHeight="1">
      <c r="A28" s="1345"/>
      <c r="B28" s="1334">
        <f>B25+1</f>
        <v>92</v>
      </c>
      <c r="C28" s="31" t="s">
        <v>42</v>
      </c>
      <c r="D28" s="23" t="s">
        <v>56</v>
      </c>
      <c r="E28" s="24">
        <v>22.825569152832031</v>
      </c>
      <c r="F28" s="1299">
        <f>SUM(E28:E30)</f>
        <v>60.00000050346258</v>
      </c>
      <c r="G28" s="1301">
        <v>7</v>
      </c>
      <c r="H28" s="1285">
        <v>2</v>
      </c>
      <c r="I28" s="1285">
        <v>3</v>
      </c>
      <c r="J28" s="1299">
        <f>SUM(G28:I30)</f>
        <v>12</v>
      </c>
      <c r="K28" s="1338">
        <v>6</v>
      </c>
      <c r="L28" s="1323">
        <v>9</v>
      </c>
      <c r="M28" s="1324">
        <v>1</v>
      </c>
      <c r="N28" s="1387">
        <v>2</v>
      </c>
      <c r="O28" s="1333">
        <v>2</v>
      </c>
      <c r="P28" s="1328">
        <v>0.4</v>
      </c>
      <c r="Q28" s="1431"/>
      <c r="R28" s="1403"/>
      <c r="S28" s="1409"/>
      <c r="U28" s="3"/>
      <c r="V28" s="21"/>
      <c r="W28" s="10"/>
      <c r="X28" s="8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</row>
    <row r="29" spans="1:213" ht="15" customHeight="1">
      <c r="A29" s="1345"/>
      <c r="B29" s="1334"/>
      <c r="C29" s="22" t="s">
        <v>42</v>
      </c>
      <c r="D29" s="23" t="s">
        <v>57</v>
      </c>
      <c r="E29" s="24">
        <v>29.549492385786799</v>
      </c>
      <c r="F29" s="1299"/>
      <c r="G29" s="1301"/>
      <c r="H29" s="1285"/>
      <c r="I29" s="1285"/>
      <c r="J29" s="1299"/>
      <c r="K29" s="1339"/>
      <c r="L29" s="1283"/>
      <c r="M29" s="1324"/>
      <c r="N29" s="1387"/>
      <c r="O29" s="1333"/>
      <c r="P29" s="1328"/>
      <c r="Q29" s="1431"/>
      <c r="R29" s="1403"/>
      <c r="S29" s="1409"/>
      <c r="U29" s="3"/>
      <c r="V29" s="21"/>
      <c r="W29" s="10"/>
      <c r="X29" s="8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/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</row>
    <row r="30" spans="1:213" ht="15" customHeight="1">
      <c r="A30" s="1345"/>
      <c r="B30" s="1334"/>
      <c r="C30" s="22" t="s">
        <v>42</v>
      </c>
      <c r="D30" s="23" t="s">
        <v>58</v>
      </c>
      <c r="E30" s="24">
        <v>7.62493896484375</v>
      </c>
      <c r="F30" s="1299"/>
      <c r="G30" s="1301"/>
      <c r="H30" s="1285"/>
      <c r="I30" s="1285"/>
      <c r="J30" s="1299"/>
      <c r="K30" s="1339"/>
      <c r="L30" s="1283"/>
      <c r="M30" s="1324"/>
      <c r="N30" s="1387"/>
      <c r="O30" s="1333"/>
      <c r="P30" s="1328"/>
      <c r="Q30" s="1432"/>
      <c r="R30" s="1403"/>
      <c r="S30" s="1409"/>
      <c r="U30" s="3"/>
      <c r="V30" s="21"/>
      <c r="W30" s="10"/>
      <c r="X30" s="8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  <c r="FR30" s="35"/>
      <c r="FS30" s="35"/>
      <c r="FT30" s="35"/>
      <c r="FU30" s="35"/>
      <c r="FV30" s="35"/>
      <c r="FW30" s="35"/>
      <c r="FX30" s="35"/>
      <c r="FY30" s="35"/>
      <c r="FZ30" s="35"/>
      <c r="GA30" s="35"/>
      <c r="GB30" s="35"/>
      <c r="GC30" s="35"/>
      <c r="GD30" s="35"/>
      <c r="GE30" s="35"/>
      <c r="GF30" s="35"/>
      <c r="GG30" s="35"/>
      <c r="GH30" s="35"/>
      <c r="GI30" s="35"/>
      <c r="GJ30" s="35"/>
      <c r="GK30" s="35"/>
      <c r="GL30" s="35"/>
      <c r="GM30" s="35"/>
      <c r="GN30" s="35"/>
      <c r="GO30" s="35"/>
      <c r="GP30" s="35"/>
      <c r="GQ30" s="35"/>
      <c r="GR30" s="35"/>
      <c r="GS30" s="35"/>
      <c r="GT30" s="35"/>
      <c r="GU30" s="35"/>
      <c r="GV30" s="35"/>
      <c r="GW30" s="35"/>
      <c r="GX30" s="35"/>
      <c r="GY30" s="35"/>
      <c r="GZ30" s="35"/>
      <c r="HA30" s="35"/>
      <c r="HB30" s="35"/>
      <c r="HC30" s="35"/>
      <c r="HD30" s="35"/>
      <c r="HE30" s="35"/>
    </row>
    <row r="31" spans="1:213" ht="15" customHeight="1">
      <c r="A31" s="1345"/>
      <c r="B31" s="1347">
        <f>B28+1</f>
        <v>93</v>
      </c>
      <c r="C31" s="36" t="s">
        <v>42</v>
      </c>
      <c r="D31" s="32" t="s">
        <v>58</v>
      </c>
      <c r="E31" s="37">
        <v>19.02557373046875</v>
      </c>
      <c r="F31" s="1313">
        <f>SUM(E31:E34)</f>
        <v>61.999998314128561</v>
      </c>
      <c r="G31" s="1301">
        <v>8</v>
      </c>
      <c r="H31" s="1285">
        <v>2</v>
      </c>
      <c r="I31" s="1285">
        <v>2</v>
      </c>
      <c r="J31" s="1299">
        <f>SUM(G31:I31)</f>
        <v>12</v>
      </c>
      <c r="K31" s="1338">
        <v>6</v>
      </c>
      <c r="L31" s="1323">
        <v>10</v>
      </c>
      <c r="M31" s="1324">
        <v>0</v>
      </c>
      <c r="N31" s="1387">
        <v>2</v>
      </c>
      <c r="O31" s="1333">
        <v>2</v>
      </c>
      <c r="P31" s="1328">
        <v>0.4</v>
      </c>
      <c r="Q31" s="1433">
        <v>0.36</v>
      </c>
      <c r="R31" s="1403"/>
      <c r="S31" s="1409"/>
      <c r="U31" s="3"/>
      <c r="V31" s="21"/>
      <c r="W31" s="10"/>
      <c r="X31" s="8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</row>
    <row r="32" spans="1:213" ht="15" customHeight="1">
      <c r="A32" s="1345"/>
      <c r="B32" s="1347"/>
      <c r="C32" s="25" t="s">
        <v>42</v>
      </c>
      <c r="D32" s="23" t="s">
        <v>59</v>
      </c>
      <c r="E32" s="38">
        <v>30.300043327556299</v>
      </c>
      <c r="F32" s="1313"/>
      <c r="G32" s="1301"/>
      <c r="H32" s="1285"/>
      <c r="I32" s="1285"/>
      <c r="J32" s="1299"/>
      <c r="K32" s="1339"/>
      <c r="L32" s="1283"/>
      <c r="M32" s="1324"/>
      <c r="N32" s="1387"/>
      <c r="O32" s="1333"/>
      <c r="P32" s="1328"/>
      <c r="Q32" s="1431"/>
      <c r="R32" s="1403"/>
      <c r="S32" s="1409"/>
      <c r="U32" s="3"/>
      <c r="V32" s="21"/>
      <c r="W32" s="10"/>
      <c r="X32" s="8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35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35"/>
      <c r="FR32" s="35"/>
      <c r="FS32" s="35"/>
      <c r="FT32" s="35"/>
      <c r="FU32" s="35"/>
      <c r="FV32" s="35"/>
      <c r="FW32" s="35"/>
      <c r="FX32" s="35"/>
      <c r="FY32" s="35"/>
      <c r="FZ32" s="35"/>
      <c r="GA32" s="35"/>
      <c r="GB32" s="35"/>
      <c r="GC32" s="35"/>
      <c r="GD32" s="35"/>
      <c r="GE32" s="35"/>
      <c r="GF32" s="35"/>
      <c r="GG32" s="35"/>
      <c r="GH32" s="35"/>
      <c r="GI32" s="35"/>
      <c r="GJ32" s="35"/>
      <c r="GK32" s="35"/>
      <c r="GL32" s="35"/>
      <c r="GM32" s="35"/>
      <c r="GN32" s="35"/>
      <c r="GO32" s="35"/>
      <c r="GP32" s="35"/>
      <c r="GQ32" s="35"/>
      <c r="GR32" s="35"/>
      <c r="GS32" s="35"/>
      <c r="GT32" s="35"/>
      <c r="GU32" s="35"/>
      <c r="GV32" s="35"/>
      <c r="GW32" s="35"/>
      <c r="GX32" s="35"/>
      <c r="GY32" s="35"/>
      <c r="GZ32" s="35"/>
      <c r="HA32" s="35"/>
      <c r="HB32" s="35"/>
      <c r="HC32" s="35"/>
      <c r="HD32" s="35"/>
      <c r="HE32" s="35"/>
    </row>
    <row r="33" spans="1:213" ht="15" customHeight="1">
      <c r="A33" s="1345"/>
      <c r="B33" s="1347"/>
      <c r="C33" s="25" t="s">
        <v>42</v>
      </c>
      <c r="D33" s="23" t="s">
        <v>60</v>
      </c>
      <c r="E33" s="38">
        <v>10.674381256103516</v>
      </c>
      <c r="F33" s="1313"/>
      <c r="G33" s="1301"/>
      <c r="H33" s="1285"/>
      <c r="I33" s="1285"/>
      <c r="J33" s="1299"/>
      <c r="K33" s="1339"/>
      <c r="L33" s="1283"/>
      <c r="M33" s="1324"/>
      <c r="N33" s="1387"/>
      <c r="O33" s="1333"/>
      <c r="P33" s="1328"/>
      <c r="Q33" s="1431"/>
      <c r="R33" s="1403"/>
      <c r="S33" s="1409"/>
      <c r="U33" s="3"/>
      <c r="V33" s="21"/>
      <c r="W33" s="10"/>
      <c r="X33" s="8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  <c r="FR33" s="35"/>
      <c r="FS33" s="35"/>
      <c r="FT33" s="35"/>
      <c r="FU33" s="35"/>
      <c r="FV33" s="35"/>
      <c r="FW33" s="35"/>
      <c r="FX33" s="35"/>
      <c r="FY33" s="35"/>
      <c r="FZ33" s="35"/>
      <c r="GA33" s="35"/>
      <c r="GB33" s="35"/>
      <c r="GC33" s="35"/>
      <c r="GD33" s="35"/>
      <c r="GE33" s="35"/>
      <c r="GF33" s="35"/>
      <c r="GG33" s="35"/>
      <c r="GH33" s="35"/>
      <c r="GI33" s="35"/>
      <c r="GJ33" s="35"/>
      <c r="GK33" s="35"/>
      <c r="GL33" s="35"/>
      <c r="GM33" s="35"/>
      <c r="GN33" s="35"/>
      <c r="GO33" s="35"/>
      <c r="GP33" s="35"/>
      <c r="GQ33" s="35"/>
      <c r="GR33" s="35"/>
      <c r="GS33" s="35"/>
      <c r="GT33" s="35"/>
      <c r="GU33" s="35"/>
      <c r="GV33" s="35"/>
      <c r="GW33" s="35"/>
      <c r="GX33" s="35"/>
      <c r="GY33" s="35"/>
      <c r="GZ33" s="35"/>
      <c r="HA33" s="35"/>
      <c r="HB33" s="35"/>
      <c r="HC33" s="35"/>
      <c r="HD33" s="35"/>
      <c r="HE33" s="35"/>
    </row>
    <row r="34" spans="1:213" ht="15" customHeight="1">
      <c r="A34" s="1345"/>
      <c r="B34" s="1350"/>
      <c r="C34" s="29"/>
      <c r="D34" s="39" t="s">
        <v>61</v>
      </c>
      <c r="E34" s="40">
        <v>2</v>
      </c>
      <c r="F34" s="1313"/>
      <c r="G34" s="1301"/>
      <c r="H34" s="1285"/>
      <c r="I34" s="1285"/>
      <c r="J34" s="1299"/>
      <c r="K34" s="1339"/>
      <c r="L34" s="1283"/>
      <c r="M34" s="1324"/>
      <c r="N34" s="1387"/>
      <c r="O34" s="1333"/>
      <c r="P34" s="1328"/>
      <c r="Q34" s="1431"/>
      <c r="R34" s="1403"/>
      <c r="S34" s="1409"/>
      <c r="U34" s="3"/>
      <c r="V34" s="21"/>
      <c r="W34" s="10"/>
      <c r="X34" s="8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35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35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  <c r="FR34" s="35"/>
      <c r="FS34" s="35"/>
      <c r="FT34" s="35"/>
      <c r="FU34" s="35"/>
      <c r="FV34" s="35"/>
      <c r="FW34" s="35"/>
      <c r="FX34" s="35"/>
      <c r="FY34" s="35"/>
      <c r="FZ34" s="35"/>
      <c r="GA34" s="35"/>
      <c r="GB34" s="35"/>
      <c r="GC34" s="35"/>
      <c r="GD34" s="35"/>
      <c r="GE34" s="35"/>
      <c r="GF34" s="35"/>
      <c r="GG34" s="35"/>
      <c r="GH34" s="35"/>
      <c r="GI34" s="35"/>
      <c r="GJ34" s="35"/>
      <c r="GK34" s="35"/>
      <c r="GL34" s="35"/>
      <c r="GM34" s="35"/>
      <c r="GN34" s="35"/>
      <c r="GO34" s="35"/>
      <c r="GP34" s="35"/>
      <c r="GQ34" s="35"/>
      <c r="GR34" s="35"/>
      <c r="GS34" s="35"/>
      <c r="GT34" s="35"/>
      <c r="GU34" s="35"/>
      <c r="GV34" s="35"/>
      <c r="GW34" s="35"/>
      <c r="GX34" s="35"/>
      <c r="GY34" s="35"/>
      <c r="GZ34" s="35"/>
      <c r="HA34" s="35"/>
      <c r="HB34" s="35"/>
      <c r="HC34" s="35"/>
      <c r="HD34" s="35"/>
      <c r="HE34" s="35"/>
    </row>
    <row r="35" spans="1:213" ht="15" customHeight="1">
      <c r="A35" s="1345"/>
      <c r="B35" s="1346">
        <f>B31+1</f>
        <v>94</v>
      </c>
      <c r="C35" s="22" t="s">
        <v>42</v>
      </c>
      <c r="D35" s="23" t="s">
        <v>60</v>
      </c>
      <c r="E35" s="24">
        <v>19.705371856689453</v>
      </c>
      <c r="F35" s="1299">
        <f>SUM(E35:E38)</f>
        <v>62.000001284993033</v>
      </c>
      <c r="G35" s="1388">
        <v>8</v>
      </c>
      <c r="H35" s="1318">
        <v>2</v>
      </c>
      <c r="I35" s="1318">
        <v>2</v>
      </c>
      <c r="J35" s="1299">
        <f>SUM(G35:I36)</f>
        <v>12</v>
      </c>
      <c r="K35" s="1337">
        <v>6</v>
      </c>
      <c r="L35" s="1318">
        <v>10</v>
      </c>
      <c r="M35" s="1313">
        <v>0</v>
      </c>
      <c r="N35" s="1328">
        <v>2</v>
      </c>
      <c r="O35" s="1333">
        <v>2</v>
      </c>
      <c r="P35" s="1328">
        <v>0.4</v>
      </c>
      <c r="Q35" s="1431"/>
      <c r="R35" s="1403"/>
      <c r="S35" s="1409"/>
      <c r="U35" s="3"/>
      <c r="V35" s="21"/>
      <c r="W35" s="10"/>
      <c r="X35" s="8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35"/>
      <c r="EP35" s="35"/>
      <c r="EQ35" s="35"/>
      <c r="ER35" s="35"/>
      <c r="ES35" s="35"/>
      <c r="ET35" s="35"/>
      <c r="EU35" s="35"/>
      <c r="EV35" s="35"/>
      <c r="EW35" s="35"/>
      <c r="EX35" s="35"/>
      <c r="EY35" s="35"/>
      <c r="EZ35" s="35"/>
      <c r="FA35" s="35"/>
      <c r="FB35" s="35"/>
      <c r="FC35" s="35"/>
      <c r="FD35" s="35"/>
      <c r="FE35" s="35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35"/>
      <c r="FR35" s="35"/>
      <c r="FS35" s="35"/>
      <c r="FT35" s="35"/>
      <c r="FU35" s="35"/>
      <c r="FV35" s="35"/>
      <c r="FW35" s="35"/>
      <c r="FX35" s="35"/>
      <c r="FY35" s="35"/>
      <c r="FZ35" s="35"/>
      <c r="GA35" s="35"/>
      <c r="GB35" s="35"/>
      <c r="GC35" s="35"/>
      <c r="GD35" s="35"/>
      <c r="GE35" s="35"/>
      <c r="GF35" s="35"/>
      <c r="GG35" s="35"/>
      <c r="GH35" s="35"/>
      <c r="GI35" s="35"/>
      <c r="GJ35" s="35"/>
      <c r="GK35" s="35"/>
      <c r="GL35" s="35"/>
      <c r="GM35" s="35"/>
      <c r="GN35" s="35"/>
      <c r="GO35" s="35"/>
      <c r="GP35" s="35"/>
      <c r="GQ35" s="35"/>
      <c r="GR35" s="35"/>
      <c r="GS35" s="35"/>
      <c r="GT35" s="35"/>
      <c r="GU35" s="35"/>
      <c r="GV35" s="35"/>
      <c r="GW35" s="35"/>
      <c r="GX35" s="35"/>
      <c r="GY35" s="35"/>
      <c r="GZ35" s="35"/>
      <c r="HA35" s="35"/>
      <c r="HB35" s="35"/>
      <c r="HC35" s="35"/>
      <c r="HD35" s="35"/>
      <c r="HE35" s="35"/>
    </row>
    <row r="36" spans="1:213" ht="15" customHeight="1">
      <c r="A36" s="1345"/>
      <c r="B36" s="1347"/>
      <c r="C36" s="22" t="s">
        <v>42</v>
      </c>
      <c r="D36" s="23" t="s">
        <v>62</v>
      </c>
      <c r="E36" s="24">
        <v>30.009503695881701</v>
      </c>
      <c r="F36" s="1299"/>
      <c r="G36" s="1388"/>
      <c r="H36" s="1318"/>
      <c r="I36" s="1318"/>
      <c r="J36" s="1299"/>
      <c r="K36" s="1337"/>
      <c r="L36" s="1318"/>
      <c r="M36" s="1313"/>
      <c r="N36" s="1328"/>
      <c r="O36" s="1333"/>
      <c r="P36" s="1328"/>
      <c r="Q36" s="1431"/>
      <c r="R36" s="1403"/>
      <c r="S36" s="1409"/>
      <c r="U36" s="3"/>
      <c r="V36" s="21"/>
      <c r="W36" s="10"/>
      <c r="X36" s="8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35"/>
      <c r="EP36" s="35"/>
      <c r="EQ36" s="35"/>
      <c r="ER36" s="35"/>
      <c r="ES36" s="35"/>
      <c r="ET36" s="35"/>
      <c r="EU36" s="35"/>
      <c r="EV36" s="35"/>
      <c r="EW36" s="35"/>
      <c r="EX36" s="35"/>
      <c r="EY36" s="35"/>
      <c r="EZ36" s="35"/>
      <c r="FA36" s="35"/>
      <c r="FB36" s="35"/>
      <c r="FC36" s="35"/>
      <c r="FD36" s="35"/>
      <c r="FE36" s="35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35"/>
      <c r="FR36" s="35"/>
      <c r="FS36" s="35"/>
      <c r="FT36" s="35"/>
      <c r="FU36" s="35"/>
      <c r="FV36" s="35"/>
      <c r="FW36" s="35"/>
      <c r="FX36" s="35"/>
      <c r="FY36" s="35"/>
      <c r="FZ36" s="35"/>
      <c r="GA36" s="35"/>
      <c r="GB36" s="35"/>
      <c r="GC36" s="35"/>
      <c r="GD36" s="35"/>
      <c r="GE36" s="35"/>
      <c r="GF36" s="35"/>
      <c r="GG36" s="35"/>
      <c r="GH36" s="35"/>
      <c r="GI36" s="35"/>
      <c r="GJ36" s="35"/>
      <c r="GK36" s="35"/>
      <c r="GL36" s="35"/>
      <c r="GM36" s="35"/>
      <c r="GN36" s="35"/>
      <c r="GO36" s="35"/>
      <c r="GP36" s="35"/>
      <c r="GQ36" s="35"/>
      <c r="GR36" s="35"/>
      <c r="GS36" s="35"/>
      <c r="GT36" s="35"/>
      <c r="GU36" s="35"/>
      <c r="GV36" s="35"/>
      <c r="GW36" s="35"/>
      <c r="GX36" s="35"/>
      <c r="GY36" s="35"/>
      <c r="GZ36" s="35"/>
      <c r="HA36" s="35"/>
      <c r="HB36" s="35"/>
      <c r="HC36" s="35"/>
      <c r="HD36" s="35"/>
      <c r="HE36" s="35"/>
    </row>
    <row r="37" spans="1:213" ht="15" customHeight="1">
      <c r="A37" s="1345"/>
      <c r="B37" s="1347"/>
      <c r="C37" s="25" t="s">
        <v>42</v>
      </c>
      <c r="D37" s="23" t="s">
        <v>63</v>
      </c>
      <c r="E37" s="24">
        <v>10.285125732421875</v>
      </c>
      <c r="F37" s="1299"/>
      <c r="G37" s="1388"/>
      <c r="H37" s="1318"/>
      <c r="I37" s="1318"/>
      <c r="J37" s="1299"/>
      <c r="K37" s="1337"/>
      <c r="L37" s="1318"/>
      <c r="M37" s="1313"/>
      <c r="N37" s="1328"/>
      <c r="O37" s="1333"/>
      <c r="P37" s="1328"/>
      <c r="Q37" s="1431"/>
      <c r="R37" s="1403"/>
      <c r="S37" s="1409"/>
      <c r="U37" s="3"/>
      <c r="V37" s="21"/>
      <c r="W37" s="10"/>
      <c r="X37" s="8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</row>
    <row r="38" spans="1:213" ht="15" customHeight="1">
      <c r="A38" s="1345"/>
      <c r="B38" s="1350"/>
      <c r="C38" s="29"/>
      <c r="D38" s="39" t="s">
        <v>61</v>
      </c>
      <c r="E38" s="40">
        <v>2</v>
      </c>
      <c r="F38" s="1299"/>
      <c r="G38" s="1388"/>
      <c r="H38" s="1318"/>
      <c r="I38" s="1318"/>
      <c r="J38" s="1299"/>
      <c r="K38" s="1337"/>
      <c r="L38" s="1318"/>
      <c r="M38" s="1313"/>
      <c r="N38" s="1328"/>
      <c r="O38" s="1333"/>
      <c r="P38" s="1328"/>
      <c r="Q38" s="1431"/>
      <c r="R38" s="1403"/>
      <c r="S38" s="1409"/>
      <c r="U38" s="3"/>
      <c r="V38" s="21"/>
      <c r="W38" s="10"/>
      <c r="X38" s="8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</row>
    <row r="39" spans="1:213" ht="15" customHeight="1">
      <c r="A39" s="1345"/>
      <c r="B39" s="1346">
        <f>+B35+1</f>
        <v>95</v>
      </c>
      <c r="C39" s="22" t="s">
        <v>42</v>
      </c>
      <c r="D39" s="23" t="s">
        <v>63</v>
      </c>
      <c r="E39" s="24">
        <v>19.785354614257813</v>
      </c>
      <c r="F39" s="1299">
        <f>SUM(E39:E42)</f>
        <v>61.999985295747109</v>
      </c>
      <c r="G39" s="1388">
        <v>8</v>
      </c>
      <c r="H39" s="1318">
        <v>2</v>
      </c>
      <c r="I39" s="1318">
        <v>2</v>
      </c>
      <c r="J39" s="1299">
        <f>SUM(G39:I40)</f>
        <v>12</v>
      </c>
      <c r="K39" s="1337">
        <v>6</v>
      </c>
      <c r="L39" s="1318">
        <v>10</v>
      </c>
      <c r="M39" s="1313">
        <v>0</v>
      </c>
      <c r="N39" s="1328">
        <v>2</v>
      </c>
      <c r="O39" s="1333">
        <v>2</v>
      </c>
      <c r="P39" s="1328">
        <v>0.4</v>
      </c>
      <c r="Q39" s="1431"/>
      <c r="R39" s="1403"/>
      <c r="S39" s="1409"/>
      <c r="U39" s="3"/>
      <c r="V39" s="21"/>
      <c r="W39" s="10"/>
      <c r="X39" s="8"/>
      <c r="Y39" s="8"/>
    </row>
    <row r="40" spans="1:213" ht="15" customHeight="1">
      <c r="A40" s="1345"/>
      <c r="B40" s="1347"/>
      <c r="C40" s="22" t="s">
        <v>42</v>
      </c>
      <c r="D40" s="23" t="s">
        <v>64</v>
      </c>
      <c r="E40" s="24">
        <v>29.699893955461299</v>
      </c>
      <c r="F40" s="1299"/>
      <c r="G40" s="1388"/>
      <c r="H40" s="1318"/>
      <c r="I40" s="1318"/>
      <c r="J40" s="1299"/>
      <c r="K40" s="1337"/>
      <c r="L40" s="1318"/>
      <c r="M40" s="1313"/>
      <c r="N40" s="1328"/>
      <c r="O40" s="1333"/>
      <c r="P40" s="1328"/>
      <c r="Q40" s="1431"/>
      <c r="R40" s="1403"/>
      <c r="S40" s="1409"/>
      <c r="V40" s="21"/>
      <c r="W40" s="10"/>
      <c r="X40" s="8"/>
      <c r="Y40" s="8"/>
    </row>
    <row r="41" spans="1:213" ht="15" customHeight="1">
      <c r="A41" s="1345"/>
      <c r="B41" s="1347"/>
      <c r="C41" s="22" t="s">
        <v>42</v>
      </c>
      <c r="D41" s="23" t="s">
        <v>11</v>
      </c>
      <c r="E41" s="24">
        <v>10.514736726028</v>
      </c>
      <c r="F41" s="1308"/>
      <c r="G41" s="1388"/>
      <c r="H41" s="1318"/>
      <c r="I41" s="1318"/>
      <c r="J41" s="1308"/>
      <c r="K41" s="1393"/>
      <c r="L41" s="1319"/>
      <c r="M41" s="1321"/>
      <c r="N41" s="1329"/>
      <c r="O41" s="1395"/>
      <c r="P41" s="1329"/>
      <c r="Q41" s="1431"/>
      <c r="R41" s="1403"/>
      <c r="S41" s="1409"/>
      <c r="V41" s="21"/>
      <c r="W41" s="10"/>
      <c r="X41" s="8"/>
      <c r="Y41" s="8"/>
    </row>
    <row r="42" spans="1:213" ht="15" customHeight="1" thickBot="1">
      <c r="A42" s="1345"/>
      <c r="B42" s="1348"/>
      <c r="C42" s="41"/>
      <c r="D42" s="42" t="s">
        <v>61</v>
      </c>
      <c r="E42" s="43">
        <v>2</v>
      </c>
      <c r="F42" s="1309"/>
      <c r="G42" s="1415"/>
      <c r="H42" s="1320"/>
      <c r="I42" s="1320"/>
      <c r="J42" s="1309"/>
      <c r="K42" s="1394"/>
      <c r="L42" s="1320"/>
      <c r="M42" s="1322"/>
      <c r="N42" s="1330"/>
      <c r="O42" s="1396"/>
      <c r="P42" s="1330"/>
      <c r="Q42" s="1434"/>
      <c r="R42" s="1404"/>
      <c r="S42" s="1410"/>
      <c r="V42" s="21"/>
      <c r="W42" s="10"/>
      <c r="X42" s="8"/>
      <c r="Y42" s="8"/>
    </row>
    <row r="43" spans="1:213" ht="15.75" customHeight="1" thickBot="1">
      <c r="A43" s="44"/>
      <c r="B43" s="1342" t="s">
        <v>12</v>
      </c>
      <c r="C43" s="1343"/>
      <c r="D43" s="1343"/>
      <c r="E43" s="45">
        <f t="shared" ref="E43:P43" si="0">SUM(E9:E42)</f>
        <v>605.9999830075194</v>
      </c>
      <c r="F43" s="46">
        <f t="shared" si="0"/>
        <v>605.99998429563675</v>
      </c>
      <c r="G43" s="47">
        <f t="shared" si="0"/>
        <v>79</v>
      </c>
      <c r="H43" s="48">
        <f t="shared" si="0"/>
        <v>14</v>
      </c>
      <c r="I43" s="48">
        <f t="shared" si="0"/>
        <v>27</v>
      </c>
      <c r="J43" s="49">
        <f t="shared" si="0"/>
        <v>120</v>
      </c>
      <c r="K43" s="50">
        <f t="shared" si="0"/>
        <v>60</v>
      </c>
      <c r="L43" s="51">
        <f t="shared" si="0"/>
        <v>93</v>
      </c>
      <c r="M43" s="52">
        <f t="shared" si="0"/>
        <v>7</v>
      </c>
      <c r="N43" s="53">
        <f t="shared" si="0"/>
        <v>20</v>
      </c>
      <c r="O43" s="54">
        <f t="shared" si="0"/>
        <v>20</v>
      </c>
      <c r="P43" s="55">
        <f t="shared" si="0"/>
        <v>3.9999999999999996</v>
      </c>
      <c r="Q43" s="56"/>
      <c r="R43" s="56"/>
      <c r="V43" s="10"/>
      <c r="W43" s="10"/>
      <c r="X43" s="8"/>
      <c r="Y43" s="8"/>
    </row>
    <row r="44" spans="1:213" ht="9.9" customHeight="1" thickBot="1">
      <c r="U44" s="57"/>
    </row>
    <row r="45" spans="1:213" ht="15" customHeight="1" thickBot="1">
      <c r="A45" s="58" t="s">
        <v>65</v>
      </c>
      <c r="B45" s="1418" t="s">
        <v>66</v>
      </c>
      <c r="C45" s="1420" t="s">
        <v>67</v>
      </c>
      <c r="D45" s="59" t="s">
        <v>68</v>
      </c>
      <c r="E45" s="1416" t="s">
        <v>69</v>
      </c>
      <c r="F45" s="1422" t="s">
        <v>70</v>
      </c>
      <c r="G45" s="1423"/>
      <c r="H45" s="1423"/>
      <c r="I45" s="1424"/>
      <c r="K45" s="1389" t="s">
        <v>71</v>
      </c>
      <c r="L45" s="1390"/>
      <c r="M45" s="1390"/>
      <c r="N45" s="1390"/>
      <c r="O45" s="1390"/>
      <c r="P45" s="1315"/>
      <c r="Q45" s="1314" t="s">
        <v>72</v>
      </c>
      <c r="R45" s="1315"/>
      <c r="W45" s="10"/>
      <c r="Y45" s="8"/>
    </row>
    <row r="46" spans="1:213" ht="15" customHeight="1" thickBot="1">
      <c r="B46" s="1419"/>
      <c r="C46" s="1421"/>
      <c r="D46" s="60" t="s">
        <v>73</v>
      </c>
      <c r="E46" s="1417"/>
      <c r="F46" s="61" t="s">
        <v>74</v>
      </c>
      <c r="G46" s="62" t="s">
        <v>75</v>
      </c>
      <c r="H46" s="62" t="s">
        <v>10</v>
      </c>
      <c r="I46" s="63" t="s">
        <v>76</v>
      </c>
      <c r="K46" s="1316"/>
      <c r="L46" s="1391"/>
      <c r="M46" s="1391"/>
      <c r="N46" s="1391"/>
      <c r="O46" s="1391"/>
      <c r="P46" s="1317"/>
      <c r="Q46" s="1316"/>
      <c r="R46" s="1317"/>
      <c r="V46" s="10"/>
      <c r="W46" s="10"/>
      <c r="X46" s="8"/>
      <c r="Y46" s="8"/>
    </row>
    <row r="47" spans="1:213" ht="20.100000000000001" customHeight="1" thickTop="1">
      <c r="B47" s="1412" t="s">
        <v>77</v>
      </c>
      <c r="C47" s="64" t="s">
        <v>78</v>
      </c>
      <c r="D47" s="65">
        <v>9</v>
      </c>
      <c r="E47" s="66" t="s">
        <v>79</v>
      </c>
      <c r="F47" s="67">
        <f>D47</f>
        <v>9</v>
      </c>
      <c r="G47" s="68"/>
      <c r="H47" s="69"/>
      <c r="I47" s="70"/>
      <c r="K47" s="1385" t="s">
        <v>80</v>
      </c>
      <c r="L47" s="1386"/>
      <c r="M47" s="1385" t="s">
        <v>81</v>
      </c>
      <c r="N47" s="1386"/>
      <c r="O47" s="1381" t="s">
        <v>92</v>
      </c>
      <c r="P47" s="1381"/>
      <c r="Q47" s="1381" t="s">
        <v>82</v>
      </c>
      <c r="R47" s="1381"/>
      <c r="V47" s="10"/>
      <c r="W47" s="10"/>
      <c r="X47" s="8"/>
      <c r="Y47" s="8"/>
    </row>
    <row r="48" spans="1:213" ht="20.100000000000001" customHeight="1">
      <c r="B48" s="1413"/>
      <c r="C48" s="71" t="s">
        <v>83</v>
      </c>
      <c r="D48" s="72">
        <v>6</v>
      </c>
      <c r="E48" s="73" t="s">
        <v>84</v>
      </c>
      <c r="F48" s="74">
        <f>D48/2</f>
        <v>3</v>
      </c>
      <c r="G48" s="75"/>
      <c r="H48" s="76">
        <f>+D48/2</f>
        <v>3</v>
      </c>
      <c r="I48" s="77"/>
      <c r="J48" s="78" t="s">
        <v>85</v>
      </c>
      <c r="K48" s="1383">
        <v>62.257326109696848</v>
      </c>
      <c r="L48" s="1384"/>
      <c r="M48" s="1383">
        <v>10.410654453162024</v>
      </c>
      <c r="N48" s="1384"/>
      <c r="O48" s="1392">
        <v>3.9449992884493503</v>
      </c>
      <c r="P48" s="1392"/>
      <c r="Q48" s="1380">
        <v>50.494395665818111</v>
      </c>
      <c r="R48" s="1380"/>
      <c r="V48" s="10"/>
      <c r="W48" s="10"/>
      <c r="X48" s="8"/>
      <c r="Y48" s="8"/>
    </row>
    <row r="49" spans="1:25" ht="20.100000000000001" customHeight="1" thickBot="1">
      <c r="B49" s="1414"/>
      <c r="C49" s="79" t="s">
        <v>86</v>
      </c>
      <c r="D49" s="80">
        <v>1</v>
      </c>
      <c r="E49" s="81" t="s">
        <v>87</v>
      </c>
      <c r="F49" s="82">
        <f>D49/4*3</f>
        <v>0.75</v>
      </c>
      <c r="G49" s="83"/>
      <c r="H49" s="83"/>
      <c r="I49" s="84">
        <f>+D49/4</f>
        <v>0.25</v>
      </c>
      <c r="J49" s="78" t="s">
        <v>88</v>
      </c>
      <c r="K49" s="1383">
        <v>67.819999999999993</v>
      </c>
      <c r="L49" s="1384"/>
      <c r="M49" s="1383">
        <v>15.209</v>
      </c>
      <c r="N49" s="1384"/>
      <c r="O49" s="1392">
        <v>5.1820000000000004</v>
      </c>
      <c r="P49" s="1392"/>
      <c r="Q49" s="85"/>
      <c r="W49" s="10"/>
      <c r="Y49" s="8"/>
    </row>
    <row r="50" spans="1:25" ht="20.100000000000001" customHeight="1" thickBot="1">
      <c r="E50" s="86" t="s">
        <v>89</v>
      </c>
      <c r="F50" s="87">
        <f>SUM(F47:F49)</f>
        <v>12.75</v>
      </c>
      <c r="G50" s="88">
        <f>SUM(G47:G49)</f>
        <v>0</v>
      </c>
      <c r="H50" s="88">
        <f>SUM(H47:H49)</f>
        <v>3</v>
      </c>
      <c r="I50" s="89">
        <f>SUM(I47:I49)</f>
        <v>0.25</v>
      </c>
      <c r="J50" s="78" t="s">
        <v>90</v>
      </c>
      <c r="K50" s="1383">
        <v>56.57</v>
      </c>
      <c r="L50" s="1384"/>
      <c r="M50" s="1383">
        <v>6.98</v>
      </c>
      <c r="N50" s="1384"/>
      <c r="O50" s="1392">
        <v>2.9609999999999999</v>
      </c>
      <c r="P50" s="1392"/>
      <c r="Q50" s="85"/>
      <c r="W50" s="10"/>
      <c r="Y50" s="8"/>
    </row>
    <row r="51" spans="1:25" ht="15.6">
      <c r="A51" s="90"/>
      <c r="B51" s="91"/>
      <c r="G51" s="78"/>
      <c r="H51" s="78"/>
      <c r="I51" s="78"/>
      <c r="W51" s="10"/>
      <c r="Y51" s="8"/>
    </row>
    <row r="52" spans="1:25" ht="20.100000000000001" customHeight="1">
      <c r="A52" s="78"/>
      <c r="B52" s="91"/>
      <c r="E52" s="92"/>
      <c r="G52" s="78"/>
      <c r="H52" s="78"/>
      <c r="I52" s="78"/>
      <c r="L52" s="93"/>
      <c r="M52" s="93"/>
      <c r="W52" s="10"/>
      <c r="Y52" s="8"/>
    </row>
    <row r="53" spans="1:25" ht="15.6">
      <c r="A53" s="94"/>
      <c r="B53" s="78"/>
      <c r="E53" s="92"/>
      <c r="G53" s="78"/>
      <c r="H53" s="78"/>
      <c r="I53" s="78"/>
      <c r="J53" s="78"/>
    </row>
    <row r="54" spans="1:25">
      <c r="F54" s="9"/>
      <c r="G54" s="78"/>
      <c r="H54" s="78"/>
      <c r="I54" s="78"/>
      <c r="J54" s="78"/>
    </row>
    <row r="55" spans="1:25">
      <c r="F55" s="9"/>
      <c r="J55" s="78"/>
      <c r="L55" s="95"/>
    </row>
    <row r="56" spans="1:25">
      <c r="J56" s="78"/>
      <c r="K56" s="9"/>
    </row>
    <row r="57" spans="1:25">
      <c r="K57" s="9"/>
    </row>
    <row r="58" spans="1:25">
      <c r="B58" s="78"/>
      <c r="D58" s="96"/>
      <c r="E58" s="97"/>
    </row>
    <row r="61" spans="1:25">
      <c r="A61" s="78"/>
      <c r="B61" s="98"/>
      <c r="C61" s="98"/>
      <c r="D61" s="99"/>
      <c r="E61" s="98"/>
      <c r="F61" s="98"/>
    </row>
    <row r="62" spans="1:25">
      <c r="A62" s="78"/>
      <c r="B62" s="78"/>
      <c r="C62" s="78"/>
      <c r="D62" s="78"/>
      <c r="E62" s="78"/>
      <c r="F62" s="78"/>
    </row>
    <row r="63" spans="1:25">
      <c r="A63" s="78"/>
      <c r="B63" s="78"/>
      <c r="C63" s="78"/>
      <c r="D63" s="78"/>
      <c r="E63" s="78"/>
      <c r="F63" s="78"/>
    </row>
    <row r="64" spans="1:25">
      <c r="B64" s="78"/>
      <c r="C64" s="78"/>
      <c r="D64" s="78"/>
      <c r="E64" s="78"/>
      <c r="F64" s="78"/>
    </row>
    <row r="65" spans="1:6">
      <c r="B65" s="78"/>
      <c r="C65" s="78"/>
      <c r="D65" s="78"/>
      <c r="E65" s="78"/>
      <c r="F65" s="78"/>
    </row>
    <row r="66" spans="1:6">
      <c r="A66" s="78"/>
    </row>
    <row r="67" spans="1:6">
      <c r="A67" s="78"/>
    </row>
  </sheetData>
  <mergeCells count="170">
    <mergeCell ref="Q9:Q30"/>
    <mergeCell ref="Q31:Q42"/>
    <mergeCell ref="O21:O24"/>
    <mergeCell ref="P15:P17"/>
    <mergeCell ref="O15:O17"/>
    <mergeCell ref="O25:O27"/>
    <mergeCell ref="P25:P27"/>
    <mergeCell ref="P21:P24"/>
    <mergeCell ref="P39:P42"/>
    <mergeCell ref="O12:O14"/>
    <mergeCell ref="C45:C46"/>
    <mergeCell ref="F45:I45"/>
    <mergeCell ref="K6:M6"/>
    <mergeCell ref="M7:M8"/>
    <mergeCell ref="H18:H20"/>
    <mergeCell ref="I18:I20"/>
    <mergeCell ref="H15:H17"/>
    <mergeCell ref="H21:H24"/>
    <mergeCell ref="I21:I24"/>
    <mergeCell ref="J35:J38"/>
    <mergeCell ref="B47:B49"/>
    <mergeCell ref="I39:I42"/>
    <mergeCell ref="G39:G42"/>
    <mergeCell ref="F28:F30"/>
    <mergeCell ref="F35:F38"/>
    <mergeCell ref="B31:B34"/>
    <mergeCell ref="E45:E46"/>
    <mergeCell ref="H39:H42"/>
    <mergeCell ref="H31:H34"/>
    <mergeCell ref="B45:B46"/>
    <mergeCell ref="P35:P38"/>
    <mergeCell ref="P28:P30"/>
    <mergeCell ref="P12:P14"/>
    <mergeCell ref="G25:G27"/>
    <mergeCell ref="H25:H27"/>
    <mergeCell ref="I25:I27"/>
    <mergeCell ref="G28:G30"/>
    <mergeCell ref="H28:H30"/>
    <mergeCell ref="I28:I30"/>
    <mergeCell ref="I35:I38"/>
    <mergeCell ref="R6:S6"/>
    <mergeCell ref="P31:P34"/>
    <mergeCell ref="N12:N14"/>
    <mergeCell ref="O49:P49"/>
    <mergeCell ref="O47:P47"/>
    <mergeCell ref="R7:S7"/>
    <mergeCell ref="R9:R42"/>
    <mergeCell ref="O9:O11"/>
    <mergeCell ref="S9:S42"/>
    <mergeCell ref="O18:O20"/>
    <mergeCell ref="O39:O42"/>
    <mergeCell ref="J39:J42"/>
    <mergeCell ref="N35:N38"/>
    <mergeCell ref="A3:S3"/>
    <mergeCell ref="N25:N27"/>
    <mergeCell ref="N28:N30"/>
    <mergeCell ref="N31:N34"/>
    <mergeCell ref="J25:J27"/>
    <mergeCell ref="J21:J24"/>
    <mergeCell ref="P9:P11"/>
    <mergeCell ref="M50:N50"/>
    <mergeCell ref="K45:P46"/>
    <mergeCell ref="M47:N47"/>
    <mergeCell ref="O50:P50"/>
    <mergeCell ref="O48:P48"/>
    <mergeCell ref="J28:J30"/>
    <mergeCell ref="O35:O38"/>
    <mergeCell ref="J31:J34"/>
    <mergeCell ref="K39:K42"/>
    <mergeCell ref="K28:K30"/>
    <mergeCell ref="I31:I34"/>
    <mergeCell ref="H35:H38"/>
    <mergeCell ref="G31:G34"/>
    <mergeCell ref="G35:G38"/>
    <mergeCell ref="K50:L50"/>
    <mergeCell ref="K49:L49"/>
    <mergeCell ref="M49:N49"/>
    <mergeCell ref="K31:K34"/>
    <mergeCell ref="L35:L38"/>
    <mergeCell ref="M21:M24"/>
    <mergeCell ref="N21:N24"/>
    <mergeCell ref="M35:M38"/>
    <mergeCell ref="M25:M27"/>
    <mergeCell ref="M28:M30"/>
    <mergeCell ref="K48:L48"/>
    <mergeCell ref="M15:M17"/>
    <mergeCell ref="M18:M20"/>
    <mergeCell ref="K15:K17"/>
    <mergeCell ref="N15:N17"/>
    <mergeCell ref="N18:N20"/>
    <mergeCell ref="M31:M34"/>
    <mergeCell ref="L28:L30"/>
    <mergeCell ref="G6:J6"/>
    <mergeCell ref="Q48:R48"/>
    <mergeCell ref="Q47:R47"/>
    <mergeCell ref="K18:K20"/>
    <mergeCell ref="L25:L27"/>
    <mergeCell ref="K25:K27"/>
    <mergeCell ref="P18:P20"/>
    <mergeCell ref="O31:O34"/>
    <mergeCell ref="M48:N48"/>
    <mergeCell ref="K47:L47"/>
    <mergeCell ref="I12:I14"/>
    <mergeCell ref="A5:S5"/>
    <mergeCell ref="Q6:Q8"/>
    <mergeCell ref="P6:P8"/>
    <mergeCell ref="A6:A8"/>
    <mergeCell ref="K7:K8"/>
    <mergeCell ref="O6:O8"/>
    <mergeCell ref="N6:N8"/>
    <mergeCell ref="B6:B8"/>
    <mergeCell ref="C6:F6"/>
    <mergeCell ref="B43:D43"/>
    <mergeCell ref="A9:A42"/>
    <mergeCell ref="B39:B42"/>
    <mergeCell ref="B9:B11"/>
    <mergeCell ref="B15:B17"/>
    <mergeCell ref="B18:B20"/>
    <mergeCell ref="B12:B14"/>
    <mergeCell ref="B21:B24"/>
    <mergeCell ref="B35:B38"/>
    <mergeCell ref="B28:B30"/>
    <mergeCell ref="B25:B27"/>
    <mergeCell ref="L7:L8"/>
    <mergeCell ref="K35:K38"/>
    <mergeCell ref="L18:L20"/>
    <mergeCell ref="L15:L17"/>
    <mergeCell ref="L21:L24"/>
    <mergeCell ref="L31:L34"/>
    <mergeCell ref="K21:K24"/>
    <mergeCell ref="K12:K14"/>
    <mergeCell ref="K9:K11"/>
    <mergeCell ref="Q45:R46"/>
    <mergeCell ref="L39:L42"/>
    <mergeCell ref="M39:M42"/>
    <mergeCell ref="L9:L11"/>
    <mergeCell ref="L12:L14"/>
    <mergeCell ref="M12:M14"/>
    <mergeCell ref="N9:N11"/>
    <mergeCell ref="N39:N42"/>
    <mergeCell ref="M9:M11"/>
    <mergeCell ref="O28:O30"/>
    <mergeCell ref="J9:J11"/>
    <mergeCell ref="J12:J14"/>
    <mergeCell ref="J18:J20"/>
    <mergeCell ref="J15:J17"/>
    <mergeCell ref="J7:J8"/>
    <mergeCell ref="F39:F42"/>
    <mergeCell ref="F9:F11"/>
    <mergeCell ref="F25:F27"/>
    <mergeCell ref="F21:F24"/>
    <mergeCell ref="F31:F34"/>
    <mergeCell ref="F18:F20"/>
    <mergeCell ref="F15:F17"/>
    <mergeCell ref="G15:G17"/>
    <mergeCell ref="G18:G20"/>
    <mergeCell ref="G21:G24"/>
    <mergeCell ref="G9:G11"/>
    <mergeCell ref="G12:G14"/>
    <mergeCell ref="F12:F14"/>
    <mergeCell ref="I9:I11"/>
    <mergeCell ref="I15:I17"/>
    <mergeCell ref="C7:C8"/>
    <mergeCell ref="D7:D8"/>
    <mergeCell ref="E7:E8"/>
    <mergeCell ref="F7:F8"/>
    <mergeCell ref="I7:I8"/>
    <mergeCell ref="G7:H7"/>
    <mergeCell ref="H9:H11"/>
    <mergeCell ref="H12:H14"/>
  </mergeCells>
  <phoneticPr fontId="10" type="noConversion"/>
  <printOptions horizontalCentered="1" verticalCentered="1"/>
  <pageMargins left="0.75" right="0.75" top="0.39370078740157483" bottom="0.39370078740157483" header="0.39370078740157483" footer="0.39370078740157483"/>
  <pageSetup paperSize="9" scale="50" orientation="landscape" r:id="rId1"/>
  <headerFooter alignWithMargins="0">
    <oddHeader>&amp;R&amp;D
&amp;T</oddHeader>
    <oddFooter xml:space="preserve">&amp;L&amp;"Arial,Negrita"
&amp;"Arial,Normal"GO-F-7003 Rev. 00&amp;C&amp;P/&amp;N&amp;R________________   
Area de Metalurgia   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D7AA6-DDB9-4E95-ABCF-ACE5D3033A45}">
  <sheetPr codeName="Hoja11"/>
  <dimension ref="B1:AM48"/>
  <sheetViews>
    <sheetView workbookViewId="0">
      <selection activeCell="C62" sqref="C62"/>
    </sheetView>
  </sheetViews>
  <sheetFormatPr baseColWidth="10" defaultRowHeight="13.2"/>
  <cols>
    <col min="1" max="1" width="6" customWidth="1"/>
    <col min="4" max="4" width="12" customWidth="1"/>
    <col min="5" max="5" width="12.5546875" customWidth="1"/>
    <col min="8" max="8" width="12.44140625" bestFit="1" customWidth="1"/>
    <col min="9" max="9" width="0" hidden="1" customWidth="1"/>
    <col min="10" max="10" width="12" customWidth="1"/>
    <col min="20" max="24" width="0" hidden="1" customWidth="1"/>
  </cols>
  <sheetData>
    <row r="1" spans="2:35" ht="18">
      <c r="B1" s="1437" t="s">
        <v>562</v>
      </c>
      <c r="C1" s="1437"/>
      <c r="D1" s="1437"/>
      <c r="E1" s="1437"/>
      <c r="F1" s="1437"/>
      <c r="G1" s="1437"/>
      <c r="H1" s="1437"/>
      <c r="I1" s="1437"/>
      <c r="J1" s="1437"/>
      <c r="K1" s="1437"/>
      <c r="L1" s="214"/>
      <c r="M1" s="214"/>
    </row>
    <row r="2" spans="2:35">
      <c r="E2" s="190"/>
      <c r="F2" s="214"/>
    </row>
    <row r="3" spans="2:35" ht="15.6">
      <c r="B3" s="901" t="s">
        <v>584</v>
      </c>
      <c r="E3" s="190"/>
      <c r="F3" s="214"/>
      <c r="M3" t="s">
        <v>575</v>
      </c>
      <c r="N3" s="157">
        <f>+Factores!L3</f>
        <v>10.111904761904761</v>
      </c>
      <c r="O3" t="s">
        <v>578</v>
      </c>
    </row>
    <row r="4" spans="2:35">
      <c r="E4" s="190"/>
      <c r="F4" s="214"/>
      <c r="M4" t="s">
        <v>576</v>
      </c>
      <c r="N4" s="347">
        <f>+Factores!D3</f>
        <v>0</v>
      </c>
      <c r="O4" t="s">
        <v>567</v>
      </c>
    </row>
    <row r="5" spans="2:35">
      <c r="B5" s="856" t="s">
        <v>563</v>
      </c>
      <c r="C5" s="857" t="s">
        <v>563</v>
      </c>
      <c r="D5" s="859" t="s">
        <v>225</v>
      </c>
      <c r="E5" s="859" t="s">
        <v>227</v>
      </c>
      <c r="F5" s="860" t="s">
        <v>564</v>
      </c>
      <c r="G5" s="861" t="s">
        <v>565</v>
      </c>
      <c r="H5" s="857" t="s">
        <v>227</v>
      </c>
      <c r="I5" s="857" t="s">
        <v>611</v>
      </c>
      <c r="J5" s="857" t="s">
        <v>609</v>
      </c>
      <c r="K5" s="857" t="s">
        <v>610</v>
      </c>
      <c r="M5" t="s">
        <v>577</v>
      </c>
      <c r="N5" s="347">
        <f>+Factores!D4</f>
        <v>0</v>
      </c>
      <c r="O5" t="s">
        <v>212</v>
      </c>
    </row>
    <row r="6" spans="2:35">
      <c r="B6" s="863"/>
      <c r="C6" s="864" t="s">
        <v>566</v>
      </c>
      <c r="D6" s="864" t="s">
        <v>567</v>
      </c>
      <c r="E6" s="864" t="s">
        <v>212</v>
      </c>
      <c r="F6" s="865" t="s">
        <v>212</v>
      </c>
      <c r="G6" s="864" t="s">
        <v>567</v>
      </c>
      <c r="H6" s="864" t="s">
        <v>567</v>
      </c>
      <c r="I6" s="864" t="s">
        <v>271</v>
      </c>
      <c r="J6" s="864" t="s">
        <v>271</v>
      </c>
      <c r="K6" s="864" t="s">
        <v>271</v>
      </c>
    </row>
    <row r="7" spans="2:35">
      <c r="B7" s="907">
        <v>3.472222222222222E-3</v>
      </c>
      <c r="C7" s="157">
        <f>+B7*24</f>
        <v>8.3333333333333329E-2</v>
      </c>
      <c r="D7" s="1121">
        <f>+IF(Carga!AB51=1,800*0.3776,IF(Carga!AB51=2,800,800*0.9147))</f>
        <v>800</v>
      </c>
      <c r="E7" s="926">
        <v>21</v>
      </c>
      <c r="F7" s="926">
        <v>115</v>
      </c>
      <c r="G7" s="927">
        <f>+'Bal Mat Fus'!Q10</f>
        <v>9302.952380952378</v>
      </c>
      <c r="H7" s="928">
        <f>+'Bal Mat Fus'!Q11</f>
        <v>0</v>
      </c>
      <c r="I7" s="928">
        <f>+C7*G7</f>
        <v>775.24603174603146</v>
      </c>
      <c r="J7" s="890">
        <f>+C7*D7</f>
        <v>66.666666666666657</v>
      </c>
      <c r="K7" s="910">
        <f>+C7*H7</f>
        <v>0</v>
      </c>
      <c r="AA7" t="s">
        <v>290</v>
      </c>
    </row>
    <row r="8" spans="2:35">
      <c r="B8" s="908"/>
      <c r="C8" s="224"/>
      <c r="D8" s="909"/>
      <c r="E8" s="190"/>
      <c r="F8" s="214"/>
      <c r="Z8" t="s">
        <v>233</v>
      </c>
      <c r="AA8" s="911">
        <f>+K21-K19</f>
        <v>10.750715386313459</v>
      </c>
    </row>
    <row r="9" spans="2:35">
      <c r="E9" s="190"/>
      <c r="F9" s="214"/>
      <c r="Z9" t="s">
        <v>234</v>
      </c>
      <c r="AA9" s="911">
        <f>+K41-K40</f>
        <v>120.65340909090992</v>
      </c>
    </row>
    <row r="10" spans="2:35" ht="15.6">
      <c r="B10" s="901" t="s">
        <v>496</v>
      </c>
      <c r="I10" s="214"/>
      <c r="J10" s="214"/>
      <c r="K10" s="214"/>
      <c r="L10" s="214"/>
      <c r="M10" s="214"/>
      <c r="O10" s="901" t="s">
        <v>496</v>
      </c>
    </row>
    <row r="11" spans="2:35">
      <c r="I11" s="214"/>
      <c r="J11" s="214"/>
      <c r="K11" s="214"/>
      <c r="L11" s="214"/>
      <c r="M11" s="214"/>
    </row>
    <row r="12" spans="2:35">
      <c r="B12" s="856" t="s">
        <v>563</v>
      </c>
      <c r="C12" s="857" t="s">
        <v>563</v>
      </c>
      <c r="D12" s="858" t="s">
        <v>225</v>
      </c>
      <c r="E12" s="859" t="s">
        <v>227</v>
      </c>
      <c r="F12" s="860" t="s">
        <v>564</v>
      </c>
      <c r="G12" s="861" t="s">
        <v>565</v>
      </c>
      <c r="H12" s="862" t="s">
        <v>227</v>
      </c>
      <c r="I12" s="857" t="s">
        <v>611</v>
      </c>
      <c r="J12" s="857" t="s">
        <v>609</v>
      </c>
      <c r="K12" s="857" t="s">
        <v>610</v>
      </c>
      <c r="O12" s="856" t="s">
        <v>563</v>
      </c>
      <c r="P12" s="857" t="s">
        <v>563</v>
      </c>
      <c r="Q12" s="858" t="s">
        <v>225</v>
      </c>
      <c r="R12" s="859" t="s">
        <v>227</v>
      </c>
      <c r="S12" s="861" t="s">
        <v>564</v>
      </c>
      <c r="T12" s="861" t="s">
        <v>565</v>
      </c>
      <c r="U12" s="862" t="s">
        <v>227</v>
      </c>
      <c r="V12" s="857" t="s">
        <v>611</v>
      </c>
      <c r="W12" s="857" t="s">
        <v>609</v>
      </c>
      <c r="X12" s="857" t="s">
        <v>610</v>
      </c>
    </row>
    <row r="13" spans="2:35">
      <c r="B13" s="863"/>
      <c r="C13" s="864" t="s">
        <v>566</v>
      </c>
      <c r="D13" s="865" t="s">
        <v>567</v>
      </c>
      <c r="E13" s="864" t="s">
        <v>212</v>
      </c>
      <c r="F13" s="1036" t="s">
        <v>212</v>
      </c>
      <c r="G13" s="1042" t="s">
        <v>567</v>
      </c>
      <c r="H13" s="1036" t="s">
        <v>567</v>
      </c>
      <c r="I13" s="864" t="s">
        <v>271</v>
      </c>
      <c r="J13" s="1042" t="s">
        <v>271</v>
      </c>
      <c r="K13" s="1042" t="s">
        <v>271</v>
      </c>
      <c r="N13" s="267"/>
      <c r="O13" s="863"/>
      <c r="P13" s="864" t="s">
        <v>566</v>
      </c>
      <c r="Q13" s="865" t="s">
        <v>567</v>
      </c>
      <c r="R13" s="864" t="s">
        <v>212</v>
      </c>
      <c r="S13" s="864" t="s">
        <v>212</v>
      </c>
      <c r="T13" s="864" t="s">
        <v>567</v>
      </c>
      <c r="U13" s="865" t="s">
        <v>567</v>
      </c>
      <c r="V13" s="864" t="s">
        <v>271</v>
      </c>
      <c r="W13" s="864" t="s">
        <v>271</v>
      </c>
      <c r="X13" s="864" t="s">
        <v>271</v>
      </c>
    </row>
    <row r="14" spans="2:35">
      <c r="B14" s="891">
        <v>6.9444444444444441E-3</v>
      </c>
      <c r="C14" s="866">
        <f t="shared" ref="C14:C20" si="0">+B14*24</f>
        <v>0.16666666666666666</v>
      </c>
      <c r="D14" s="892">
        <v>1550</v>
      </c>
      <c r="E14" s="1034">
        <v>34</v>
      </c>
      <c r="F14" s="1038">
        <v>115</v>
      </c>
      <c r="G14" s="931">
        <f>+AB17</f>
        <v>9253.2039724980878</v>
      </c>
      <c r="H14" s="933">
        <f>+AB18</f>
        <v>1879.5570569136744</v>
      </c>
      <c r="I14" s="871">
        <f>+C14*G14</f>
        <v>1542.2006620830145</v>
      </c>
      <c r="J14" s="1045">
        <f>+C14*D14</f>
        <v>258.33333333333331</v>
      </c>
      <c r="K14" s="1032">
        <f>+C14*H14</f>
        <v>313.2595094856124</v>
      </c>
      <c r="L14" s="7"/>
      <c r="M14" s="7"/>
      <c r="O14" s="961">
        <f t="shared" ref="O14:O21" si="1">+P14/24</f>
        <v>6.9444444444444441E-3</v>
      </c>
      <c r="P14" s="962">
        <f>+C14</f>
        <v>0.16666666666666666</v>
      </c>
      <c r="Q14" s="963">
        <f t="shared" ref="Q14:S18" si="2">+D14</f>
        <v>1550</v>
      </c>
      <c r="R14" s="964">
        <f t="shared" si="2"/>
        <v>34</v>
      </c>
      <c r="S14" s="964">
        <f t="shared" si="2"/>
        <v>115</v>
      </c>
      <c r="T14" s="933">
        <f t="shared" ref="T14:X18" si="3">+G14</f>
        <v>9253.2039724980878</v>
      </c>
      <c r="U14" s="869">
        <f t="shared" si="3"/>
        <v>1879.5570569136744</v>
      </c>
      <c r="V14" s="933">
        <f t="shared" si="3"/>
        <v>1542.2006620830145</v>
      </c>
      <c r="W14" s="869">
        <f t="shared" si="3"/>
        <v>258.33333333333331</v>
      </c>
      <c r="X14" s="933">
        <f t="shared" si="3"/>
        <v>313.2595094856124</v>
      </c>
      <c r="Z14" s="230" t="s">
        <v>568</v>
      </c>
      <c r="AA14" s="380" t="s">
        <v>569</v>
      </c>
      <c r="AB14" s="269">
        <v>1</v>
      </c>
      <c r="AC14" s="269">
        <v>2</v>
      </c>
      <c r="AD14" s="269">
        <v>3</v>
      </c>
      <c r="AE14" s="269">
        <v>4</v>
      </c>
      <c r="AF14" s="269">
        <v>5</v>
      </c>
      <c r="AG14" s="241">
        <v>6</v>
      </c>
      <c r="AH14" s="241" t="s">
        <v>585</v>
      </c>
      <c r="AI14" s="241" t="s">
        <v>586</v>
      </c>
    </row>
    <row r="15" spans="2:35">
      <c r="B15" s="891">
        <v>6.9444444444444441E-3</v>
      </c>
      <c r="C15" s="866">
        <f t="shared" si="0"/>
        <v>0.16666666666666666</v>
      </c>
      <c r="D15" s="892">
        <v>1630</v>
      </c>
      <c r="E15" s="1034">
        <v>35</v>
      </c>
      <c r="F15" s="1039">
        <v>115</v>
      </c>
      <c r="G15" s="884">
        <f>+AC17</f>
        <v>9305.0666883116864</v>
      </c>
      <c r="H15" s="868">
        <f>+AC18</f>
        <v>2067.7925974025975</v>
      </c>
      <c r="I15" s="867">
        <f>+C15*G15+I14</f>
        <v>3093.0451101349622</v>
      </c>
      <c r="J15" s="1046">
        <f>+C15*D15+J14</f>
        <v>530</v>
      </c>
      <c r="K15" s="1033">
        <f>+C15*H15+K14</f>
        <v>657.89160905271194</v>
      </c>
      <c r="L15" s="869"/>
      <c r="M15" s="869"/>
      <c r="O15" s="961">
        <f t="shared" si="1"/>
        <v>6.9444444444444441E-3</v>
      </c>
      <c r="P15" s="962">
        <f>+C15</f>
        <v>0.16666666666666666</v>
      </c>
      <c r="Q15" s="963">
        <f t="shared" si="2"/>
        <v>1630</v>
      </c>
      <c r="R15" s="964">
        <f t="shared" si="2"/>
        <v>35</v>
      </c>
      <c r="S15" s="964">
        <f t="shared" si="2"/>
        <v>115</v>
      </c>
      <c r="T15" s="868">
        <f t="shared" si="3"/>
        <v>9305.0666883116864</v>
      </c>
      <c r="U15" s="869">
        <f t="shared" si="3"/>
        <v>2067.7925974025975</v>
      </c>
      <c r="V15" s="868">
        <f t="shared" si="3"/>
        <v>3093.0451101349622</v>
      </c>
      <c r="W15" s="869">
        <f t="shared" si="3"/>
        <v>530</v>
      </c>
      <c r="X15" s="868">
        <f t="shared" si="3"/>
        <v>657.89160905271194</v>
      </c>
      <c r="Z15" s="159">
        <v>1</v>
      </c>
      <c r="AA15" s="240">
        <v>1</v>
      </c>
      <c r="AB15" s="867">
        <f>+$N$3*$F$14*$Z$16*D14/E14-$N$4</f>
        <v>11132.761029411762</v>
      </c>
      <c r="AC15" s="867">
        <f>+$N$3*$F$15*$Z$16*D15/E15-$N$4</f>
        <v>11372.859285714285</v>
      </c>
      <c r="AD15" s="867">
        <f>+$N$3*$F$16*$Z$16*D16/E16-$N$4</f>
        <v>11419.046478873237</v>
      </c>
      <c r="AE15" s="867">
        <f>+$N$3*$F$17*$Z$16*D17/E17-$N$4</f>
        <v>0</v>
      </c>
      <c r="AF15" s="867">
        <f>+$N$3*$F$18*$Z$16*D18/E18-$N$4</f>
        <v>0</v>
      </c>
      <c r="AG15" s="870">
        <f>+$N$3*$F$19*$Z$16*D19/E19-$N$4</f>
        <v>11469.352576370153</v>
      </c>
      <c r="AH15" s="870">
        <f>+$N$3*$F$21*$Z$16*D21/E21-$N$4</f>
        <v>11450.015727362612</v>
      </c>
      <c r="AI15" s="870">
        <f>+$N$3*$F$41*$Z$16*D41/E41-$N$4</f>
        <v>11148.375</v>
      </c>
    </row>
    <row r="16" spans="2:35" hidden="1">
      <c r="B16" s="1029">
        <v>1.3888888888888888E-2</v>
      </c>
      <c r="C16" s="866">
        <f t="shared" si="0"/>
        <v>0.33333333333333331</v>
      </c>
      <c r="D16" s="1030">
        <v>1660</v>
      </c>
      <c r="E16" s="1035">
        <v>35.5</v>
      </c>
      <c r="F16" s="1040">
        <v>115</v>
      </c>
      <c r="G16" s="884">
        <f>+AD17</f>
        <v>9268.7065575269771</v>
      </c>
      <c r="H16" s="868">
        <f>+AD18</f>
        <v>2150.3399213462585</v>
      </c>
      <c r="I16" s="867">
        <f>+C16*G16+I15</f>
        <v>6182.6139626439544</v>
      </c>
      <c r="J16" s="1046">
        <f>+C16*D16+J15</f>
        <v>1083.3333333333333</v>
      </c>
      <c r="K16" s="1033">
        <f>+C16*H16+K15</f>
        <v>1374.6715828347981</v>
      </c>
      <c r="L16" s="869"/>
      <c r="M16" s="869"/>
      <c r="O16" s="961">
        <f t="shared" si="1"/>
        <v>1.3888888888888888E-2</v>
      </c>
      <c r="P16" s="962">
        <f>+C16</f>
        <v>0.33333333333333331</v>
      </c>
      <c r="Q16" s="963">
        <f t="shared" si="2"/>
        <v>1660</v>
      </c>
      <c r="R16" s="964">
        <f t="shared" si="2"/>
        <v>35.5</v>
      </c>
      <c r="S16" s="964">
        <f t="shared" si="2"/>
        <v>115</v>
      </c>
      <c r="T16" s="868">
        <f t="shared" si="3"/>
        <v>9268.7065575269771</v>
      </c>
      <c r="U16" s="869">
        <f t="shared" si="3"/>
        <v>2150.3399213462585</v>
      </c>
      <c r="V16" s="868">
        <f t="shared" si="3"/>
        <v>6182.6139626439544</v>
      </c>
      <c r="W16" s="869">
        <f t="shared" si="3"/>
        <v>1083.3333333333333</v>
      </c>
      <c r="X16" s="868">
        <f t="shared" si="3"/>
        <v>1374.6715828347981</v>
      </c>
      <c r="Z16" s="257">
        <f>0.21*(100-N5)/100</f>
        <v>0.21</v>
      </c>
      <c r="AA16" s="240">
        <v>0.98</v>
      </c>
      <c r="AB16" s="867">
        <f>+$N$3*$F$14*$Z$16*D14/100-$N$4*$Z$16</f>
        <v>3785.1387499999996</v>
      </c>
      <c r="AC16" s="867">
        <f>+$N$3*$F$15*$Z$16*D15/100-$N$4*$Z$16</f>
        <v>3980.5007499999997</v>
      </c>
      <c r="AD16" s="867">
        <f>+$N$3*$F$16*$Z$16*D16/100-$N$4*$Z$16</f>
        <v>4053.7614999999992</v>
      </c>
      <c r="AE16" s="867">
        <f>+$N$3*$F$17*$Z$16*D17/100-$N$4*$Z$16</f>
        <v>0</v>
      </c>
      <c r="AF16" s="867">
        <f>+$N$3*$F$18*$Z$16*D18/100-$N$4*$Z$16</f>
        <v>0</v>
      </c>
      <c r="AG16" s="870">
        <f>+$N$3*$F$19*$Z$16*D19/100-$N$4*$Z$16</f>
        <v>4149.3379108014933</v>
      </c>
      <c r="AH16" s="870">
        <f>+$N$3*$F$21*$Z$16*D21/100-$N$4*$Z$16</f>
        <v>4124.8987499999994</v>
      </c>
      <c r="AI16" s="870">
        <f>+$N$3*$F$41*$Z$16*D41/100-$N$4*$Z$16</f>
        <v>3790.4475000000016</v>
      </c>
    </row>
    <row r="17" spans="2:39" hidden="1">
      <c r="B17" s="891">
        <v>0</v>
      </c>
      <c r="C17" s="866">
        <f t="shared" si="0"/>
        <v>0</v>
      </c>
      <c r="D17" s="892">
        <v>0</v>
      </c>
      <c r="E17" s="1034">
        <v>21</v>
      </c>
      <c r="F17" s="1039">
        <v>115</v>
      </c>
      <c r="G17" s="884">
        <f>+AE17</f>
        <v>0</v>
      </c>
      <c r="H17" s="868">
        <f>+AE18</f>
        <v>0</v>
      </c>
      <c r="I17" s="867">
        <f>+C17*G17+I16</f>
        <v>6182.6139626439544</v>
      </c>
      <c r="J17" s="1046">
        <f>+C17*D17+J16</f>
        <v>1083.3333333333333</v>
      </c>
      <c r="K17" s="1033">
        <f>+C17*H17+K16</f>
        <v>1374.6715828347981</v>
      </c>
      <c r="O17" s="961">
        <f t="shared" si="1"/>
        <v>0</v>
      </c>
      <c r="P17" s="962">
        <f>+C17</f>
        <v>0</v>
      </c>
      <c r="Q17" s="963">
        <f t="shared" si="2"/>
        <v>0</v>
      </c>
      <c r="R17" s="964">
        <f t="shared" si="2"/>
        <v>21</v>
      </c>
      <c r="S17" s="964">
        <f t="shared" si="2"/>
        <v>115</v>
      </c>
      <c r="T17" s="868">
        <f t="shared" si="3"/>
        <v>0</v>
      </c>
      <c r="U17" s="869">
        <f t="shared" si="3"/>
        <v>0</v>
      </c>
      <c r="V17" s="868">
        <f t="shared" si="3"/>
        <v>6182.6139626439544</v>
      </c>
      <c r="W17" s="869">
        <f t="shared" si="3"/>
        <v>1083.3333333333333</v>
      </c>
      <c r="X17" s="868">
        <f t="shared" si="3"/>
        <v>1374.6715828347981</v>
      </c>
      <c r="Z17" s="152"/>
      <c r="AA17" s="202"/>
      <c r="AB17" s="871">
        <f t="array" ref="AB17:AB18">+MMULT(MINVERSE($Z$15:$AA$16),AB15:AB16)</f>
        <v>9253.2039724980878</v>
      </c>
      <c r="AC17" s="871">
        <f t="array" ref="AC17:AC18">+MMULT(MINVERSE($Z$15:$AA$16),AC15:AC16)</f>
        <v>9305.0666883116864</v>
      </c>
      <c r="AD17" s="871">
        <f t="array" ref="AD17:AD18">+MMULT(MINVERSE($Z$15:$AA$16),AD15:AD16)</f>
        <v>9268.7065575269771</v>
      </c>
      <c r="AE17" s="871">
        <f t="array" ref="AE17:AE18">+MMULT(MINVERSE($Z$15:$AA$16),AE15:AE16)</f>
        <v>0</v>
      </c>
      <c r="AF17" s="871">
        <f t="array" ref="AF17:AF18">+MMULT(MINVERSE($Z$15:$AA$16),AF15:AF16)</f>
        <v>0</v>
      </c>
      <c r="AG17" s="872">
        <f t="array" ref="AG17:AG18">+MMULT(MINVERSE($Z$15:$AA$16),AG15:AG16)</f>
        <v>9208.607290962671</v>
      </c>
      <c r="AH17" s="872">
        <f t="array" ref="AH17:AH18">+MMULT(MINVERSE($Z$15:$AA$16),AH15:AH16)</f>
        <v>9215.7359257342323</v>
      </c>
      <c r="AI17" s="872">
        <f t="array" ref="AI17:AI18">+MMULT(MINVERSE($Z$15:$AA$16),AI15:AI16)</f>
        <v>9266.1818181818162</v>
      </c>
    </row>
    <row r="18" spans="2:39" hidden="1">
      <c r="B18" s="891">
        <v>0</v>
      </c>
      <c r="C18" s="866">
        <f t="shared" si="0"/>
        <v>0</v>
      </c>
      <c r="D18" s="892">
        <v>0</v>
      </c>
      <c r="E18" s="1034">
        <v>21</v>
      </c>
      <c r="F18" s="1039">
        <v>115</v>
      </c>
      <c r="G18" s="884">
        <f>+AF17</f>
        <v>0</v>
      </c>
      <c r="H18" s="868">
        <f>+AF18</f>
        <v>0</v>
      </c>
      <c r="I18" s="867">
        <f>+C18*G18+I17</f>
        <v>6182.6139626439544</v>
      </c>
      <c r="J18" s="1046">
        <f>+C18*D18+J17</f>
        <v>1083.3333333333333</v>
      </c>
      <c r="K18" s="1033">
        <f>+C18*H18+K17</f>
        <v>1374.6715828347981</v>
      </c>
      <c r="O18" s="961">
        <f t="shared" si="1"/>
        <v>0</v>
      </c>
      <c r="P18" s="962">
        <f>+C18</f>
        <v>0</v>
      </c>
      <c r="Q18" s="963">
        <f t="shared" si="2"/>
        <v>0</v>
      </c>
      <c r="R18" s="964">
        <f t="shared" si="2"/>
        <v>21</v>
      </c>
      <c r="S18" s="964">
        <f t="shared" si="2"/>
        <v>115</v>
      </c>
      <c r="T18" s="868">
        <f t="shared" si="3"/>
        <v>0</v>
      </c>
      <c r="U18" s="869">
        <f t="shared" si="3"/>
        <v>0</v>
      </c>
      <c r="V18" s="868">
        <f t="shared" si="3"/>
        <v>6182.6139626439544</v>
      </c>
      <c r="W18" s="869">
        <f t="shared" si="3"/>
        <v>1083.3333333333333</v>
      </c>
      <c r="X18" s="868">
        <f t="shared" si="3"/>
        <v>1374.6715828347981</v>
      </c>
      <c r="Z18" s="136"/>
      <c r="AA18" s="185"/>
      <c r="AB18" s="873">
        <v>1879.5570569136744</v>
      </c>
      <c r="AC18" s="873">
        <v>2067.7925974025975</v>
      </c>
      <c r="AD18" s="873">
        <v>2150.3399213462585</v>
      </c>
      <c r="AE18" s="873">
        <v>0</v>
      </c>
      <c r="AF18" s="873">
        <v>0</v>
      </c>
      <c r="AG18" s="874">
        <v>2260.7452854074818</v>
      </c>
      <c r="AH18" s="874">
        <v>2234.2798016283782</v>
      </c>
      <c r="AI18" s="874">
        <v>1882.1931818181838</v>
      </c>
    </row>
    <row r="19" spans="2:39">
      <c r="B19" s="1049">
        <v>0.16388888888888892</v>
      </c>
      <c r="C19" s="1050">
        <f t="shared" si="0"/>
        <v>3.933333333333334</v>
      </c>
      <c r="D19" s="1051">
        <v>1771.1864406779662</v>
      </c>
      <c r="E19" s="1052">
        <v>36.177612320944839</v>
      </c>
      <c r="F19" s="1053">
        <v>110.32203389830508</v>
      </c>
      <c r="G19" s="884">
        <f>+AG17</f>
        <v>9208.607290962671</v>
      </c>
      <c r="H19" s="868">
        <f>+AG18</f>
        <v>2260.7452854074818</v>
      </c>
      <c r="I19" s="873">
        <f>+C19*G19+I18</f>
        <v>42403.135973763798</v>
      </c>
      <c r="J19" s="1047">
        <f>+C19*D19+J18</f>
        <v>8050.0000000000009</v>
      </c>
      <c r="K19" s="1044">
        <f>+C19*H19+K18</f>
        <v>10266.936372104228</v>
      </c>
      <c r="O19" s="965">
        <f t="shared" si="1"/>
        <v>0.18450431380878382</v>
      </c>
      <c r="P19" s="966">
        <f>+P21-SUM(P14:P18)</f>
        <v>4.4281035314108115</v>
      </c>
      <c r="Q19" s="967">
        <f>+(Q21*$P$21-SUMPRODUCT($P$14:$P$18,Q14:Q18))/$P$19</f>
        <v>1882.0318449253975</v>
      </c>
      <c r="R19" s="968">
        <f>+(N3*S19*Z16*Q19)/(T19+U19+N4)</f>
        <v>44.406043232852234</v>
      </c>
      <c r="S19" s="969">
        <f>+(S21*$P$21-SUMPRODUCT($P$14:$P$18,S14:S18))/$P$19</f>
        <v>109.13217694078698</v>
      </c>
      <c r="T19" s="951">
        <f>+(V19-V18)/P19</f>
        <v>6830.7622470726155</v>
      </c>
      <c r="U19" s="945">
        <f>+(X19-X18)/P19</f>
        <v>2991.0125960557743</v>
      </c>
      <c r="V19" s="875">
        <f>+V21</f>
        <v>36429.936391133851</v>
      </c>
      <c r="W19" s="869">
        <f>+W21</f>
        <v>9417.1651920750919</v>
      </c>
      <c r="X19" s="875">
        <f>+X21</f>
        <v>14619.185021923593</v>
      </c>
      <c r="AF19" s="267"/>
    </row>
    <row r="20" spans="2:39">
      <c r="B20" s="891">
        <v>1.3888888888888888E-2</v>
      </c>
      <c r="C20" s="866">
        <f t="shared" si="0"/>
        <v>0.33333333333333331</v>
      </c>
      <c r="D20" s="892">
        <v>1660</v>
      </c>
      <c r="E20" s="1034">
        <v>35.5</v>
      </c>
      <c r="F20" s="1041">
        <v>115</v>
      </c>
      <c r="G20" s="932">
        <f>+G16</f>
        <v>9268.7065575269771</v>
      </c>
      <c r="H20" s="875">
        <f>+H16</f>
        <v>2150.3399213462585</v>
      </c>
      <c r="I20" s="867"/>
      <c r="J20" s="1043">
        <f>+J19</f>
        <v>8050.0000000000009</v>
      </c>
      <c r="K20" s="1048">
        <f>+K19</f>
        <v>10266.936372104228</v>
      </c>
      <c r="O20" s="961">
        <f>+O16</f>
        <v>1.3888888888888888E-2</v>
      </c>
      <c r="P20" s="962">
        <f>+P16</f>
        <v>0.33333333333333331</v>
      </c>
      <c r="Q20" s="996">
        <f>+Q16</f>
        <v>1660</v>
      </c>
      <c r="R20" s="1031">
        <f>+R16</f>
        <v>35.5</v>
      </c>
      <c r="S20" s="997">
        <f>+S16</f>
        <v>115</v>
      </c>
      <c r="T20" s="951"/>
      <c r="U20" s="945"/>
      <c r="V20" s="875"/>
      <c r="W20" s="869"/>
      <c r="X20" s="875"/>
      <c r="AF20" s="267"/>
    </row>
    <row r="21" spans="2:39" ht="13.8">
      <c r="B21" s="876">
        <f>SUM(B14:B19)</f>
        <v>0.19166666666666671</v>
      </c>
      <c r="C21" s="877">
        <f>SUM(C14:C19)</f>
        <v>4.6000000000000005</v>
      </c>
      <c r="D21" s="878">
        <f>+SUMPRODUCT(D14:D19,$B$14:$B$19)/$B$21</f>
        <v>1750</v>
      </c>
      <c r="E21" s="937">
        <f>(N3*F21*Z16*D21)/(I19/C21+K19/C21+N4)</f>
        <v>36.025267110704007</v>
      </c>
      <c r="F21" s="1037">
        <f>+SUMPRODUCT(F14:F19,$B$14:$B$19)/$B$21</f>
        <v>110.99999999999999</v>
      </c>
      <c r="G21" s="956">
        <f>+AH17</f>
        <v>9215.7359257342323</v>
      </c>
      <c r="H21" s="956">
        <f>+AH18</f>
        <v>2234.2798016283782</v>
      </c>
      <c r="I21" s="956">
        <f>+C21*G21</f>
        <v>42392.385258377471</v>
      </c>
      <c r="J21" s="957">
        <f>+D21*C21</f>
        <v>8050.0000000000009</v>
      </c>
      <c r="K21" s="957">
        <f>+C21*H21</f>
        <v>10277.687087490542</v>
      </c>
      <c r="O21" s="970">
        <f t="shared" si="1"/>
        <v>0.21228209158656161</v>
      </c>
      <c r="P21" s="971">
        <f>+Principal!Q16</f>
        <v>5.0947701980774784</v>
      </c>
      <c r="Q21" s="972">
        <f>+Principal!Q10</f>
        <v>1848.3984215085261</v>
      </c>
      <c r="R21" s="938">
        <f>+Principal!Q12</f>
        <v>43.050864256405958</v>
      </c>
      <c r="S21" s="973">
        <f>+Principal!Q14</f>
        <v>109.9</v>
      </c>
      <c r="T21" s="940">
        <f>+AH37</f>
        <v>7150.4572286461043</v>
      </c>
      <c r="U21" s="940">
        <f>+AH38</f>
        <v>2869.4493477723827</v>
      </c>
      <c r="V21" s="940">
        <f>+P21*T21</f>
        <v>36429.936391133851</v>
      </c>
      <c r="W21" s="941">
        <f>+Q21*P21</f>
        <v>9417.1651920750919</v>
      </c>
      <c r="X21" s="941">
        <f>+P21*U21</f>
        <v>14619.185021923593</v>
      </c>
    </row>
    <row r="22" spans="2:39">
      <c r="I22" s="7"/>
      <c r="O22" s="750"/>
      <c r="P22" s="750"/>
      <c r="Q22" s="750"/>
      <c r="R22" s="750"/>
      <c r="S22" s="750"/>
      <c r="T22" s="200"/>
      <c r="U22" s="200"/>
      <c r="V22" s="200"/>
      <c r="W22" s="200"/>
    </row>
    <row r="23" spans="2:39">
      <c r="O23" s="750"/>
      <c r="P23" s="750"/>
      <c r="Q23" s="750"/>
      <c r="R23" s="750"/>
      <c r="S23" s="750"/>
      <c r="T23" s="200"/>
      <c r="U23" s="200"/>
      <c r="V23" s="200"/>
      <c r="W23" s="200"/>
    </row>
    <row r="24" spans="2:39" ht="12.75" hidden="1" customHeight="1">
      <c r="B24" s="230" t="s">
        <v>563</v>
      </c>
      <c r="C24" s="241" t="s">
        <v>566</v>
      </c>
      <c r="D24" s="212" t="s">
        <v>570</v>
      </c>
      <c r="E24" s="880">
        <v>67000</v>
      </c>
      <c r="F24" s="211" t="s">
        <v>571</v>
      </c>
      <c r="G24" s="881">
        <v>0.17499999999999999</v>
      </c>
      <c r="H24" s="212" t="s">
        <v>572</v>
      </c>
      <c r="I24" s="880">
        <v>0</v>
      </c>
      <c r="J24" s="880"/>
      <c r="K24" s="880"/>
      <c r="L24" s="880"/>
      <c r="M24" s="880"/>
      <c r="N24" s="211" t="s">
        <v>573</v>
      </c>
      <c r="O24" s="974" t="s">
        <v>563</v>
      </c>
      <c r="P24" s="975" t="s">
        <v>566</v>
      </c>
      <c r="Q24" s="976" t="s">
        <v>570</v>
      </c>
      <c r="R24" s="977">
        <v>67000</v>
      </c>
      <c r="S24" s="978" t="s">
        <v>571</v>
      </c>
      <c r="T24" s="882">
        <v>12000</v>
      </c>
      <c r="U24" s="212" t="s">
        <v>574</v>
      </c>
      <c r="V24" s="882">
        <v>8000</v>
      </c>
      <c r="W24" s="7"/>
      <c r="Z24" s="7"/>
      <c r="AA24" s="7"/>
      <c r="AB24" s="7"/>
      <c r="AC24" s="7"/>
    </row>
    <row r="25" spans="2:39" ht="12.75" hidden="1" customHeight="1">
      <c r="B25" s="883">
        <f>+B15</f>
        <v>6.9444444444444441E-3</v>
      </c>
      <c r="C25" s="244">
        <f>+B25*24</f>
        <v>0.16666666666666666</v>
      </c>
      <c r="D25" s="867">
        <v>8000</v>
      </c>
      <c r="E25" s="867">
        <f>+D25*C25</f>
        <v>1333.3333333333333</v>
      </c>
      <c r="F25" s="884">
        <f>+D25*$G$24</f>
        <v>1400</v>
      </c>
      <c r="G25" s="870">
        <f>+F25*C25</f>
        <v>233.33333333333331</v>
      </c>
      <c r="H25" s="867">
        <v>0</v>
      </c>
      <c r="I25" s="867">
        <f>+H25*C25</f>
        <v>0</v>
      </c>
      <c r="J25" s="867"/>
      <c r="K25" s="867"/>
      <c r="L25" s="867"/>
      <c r="M25" s="867"/>
      <c r="N25" s="884">
        <v>95</v>
      </c>
      <c r="O25" s="979">
        <f>+O15</f>
        <v>6.9444444444444441E-3</v>
      </c>
      <c r="P25" s="980">
        <f>+O25*24</f>
        <v>0.16666666666666666</v>
      </c>
      <c r="Q25" s="981">
        <v>8000</v>
      </c>
      <c r="R25" s="981">
        <f>+Q25*P25</f>
        <v>1333.3333333333333</v>
      </c>
      <c r="S25" s="982">
        <f>+Q25*$G$24</f>
        <v>1400</v>
      </c>
      <c r="T25" s="870">
        <f>+S25*C25</f>
        <v>233.33333333333331</v>
      </c>
      <c r="U25" s="867">
        <v>950</v>
      </c>
      <c r="V25" s="870">
        <f>+U25*C25</f>
        <v>158.33333333333331</v>
      </c>
      <c r="W25" s="267"/>
      <c r="X25" s="214"/>
      <c r="Z25" s="262"/>
      <c r="AA25" s="262"/>
      <c r="AB25" s="267"/>
      <c r="AC25" s="267"/>
      <c r="AH25" s="885"/>
      <c r="AI25" s="885"/>
      <c r="AK25">
        <v>80</v>
      </c>
      <c r="AL25" s="885">
        <f>+AK25/100*$AB$30</f>
        <v>0</v>
      </c>
      <c r="AM25" s="267">
        <f>+AK25/100*$AC$30</f>
        <v>0</v>
      </c>
    </row>
    <row r="26" spans="2:39" ht="12.75" hidden="1" customHeight="1">
      <c r="B26" s="883">
        <f>+B16</f>
        <v>1.3888888888888888E-2</v>
      </c>
      <c r="C26" s="244">
        <f>+B26*24</f>
        <v>0.33333333333333331</v>
      </c>
      <c r="D26" s="867">
        <v>11000</v>
      </c>
      <c r="E26" s="867">
        <f>+D26*C26</f>
        <v>3666.6666666666665</v>
      </c>
      <c r="F26" s="884">
        <f>+D26*$G$24</f>
        <v>1924.9999999999998</v>
      </c>
      <c r="G26" s="870">
        <f>+F26*C26</f>
        <v>641.66666666666652</v>
      </c>
      <c r="H26" s="867">
        <v>0</v>
      </c>
      <c r="I26" s="867">
        <f>+H26*C26</f>
        <v>0</v>
      </c>
      <c r="J26" s="867"/>
      <c r="K26" s="867"/>
      <c r="L26" s="867"/>
      <c r="M26" s="867"/>
      <c r="N26" s="884">
        <v>120</v>
      </c>
      <c r="O26" s="979">
        <f>+O16</f>
        <v>1.3888888888888888E-2</v>
      </c>
      <c r="P26" s="980">
        <f>+O26*24</f>
        <v>0.33333333333333331</v>
      </c>
      <c r="Q26" s="981">
        <v>11000</v>
      </c>
      <c r="R26" s="981">
        <f>+Q26*P26</f>
        <v>3666.6666666666665</v>
      </c>
      <c r="S26" s="982">
        <f>+Q26*$G$24</f>
        <v>1924.9999999999998</v>
      </c>
      <c r="T26" s="870">
        <f>+S26*C26</f>
        <v>641.66666666666652</v>
      </c>
      <c r="U26" s="867">
        <v>1200</v>
      </c>
      <c r="V26" s="870">
        <f>+U26*C26</f>
        <v>400</v>
      </c>
      <c r="W26" s="267"/>
      <c r="X26" s="214"/>
      <c r="Z26" s="262"/>
      <c r="AA26" s="262"/>
      <c r="AB26" s="267"/>
      <c r="AC26" s="267"/>
      <c r="AH26" s="885"/>
      <c r="AI26" s="885"/>
      <c r="AK26">
        <v>90</v>
      </c>
      <c r="AL26" s="885">
        <f>+AK26/100*$AB$30</f>
        <v>0</v>
      </c>
      <c r="AM26" s="267">
        <f>+AK26/100*$AC$30</f>
        <v>0</v>
      </c>
    </row>
    <row r="27" spans="2:39" ht="12.75" hidden="1" customHeight="1">
      <c r="B27" s="883">
        <f>+B17</f>
        <v>0</v>
      </c>
      <c r="C27" s="244">
        <f>+B27*24</f>
        <v>0</v>
      </c>
      <c r="D27" s="867">
        <v>14000</v>
      </c>
      <c r="E27" s="867">
        <f>+D27*C27</f>
        <v>0</v>
      </c>
      <c r="F27" s="884">
        <f>+D27*$G$24</f>
        <v>2450</v>
      </c>
      <c r="G27" s="870">
        <f>+F27*C27</f>
        <v>0</v>
      </c>
      <c r="H27" s="867">
        <v>0</v>
      </c>
      <c r="I27" s="867">
        <f>+H27*C27</f>
        <v>0</v>
      </c>
      <c r="J27" s="867"/>
      <c r="K27" s="867"/>
      <c r="L27" s="867"/>
      <c r="M27" s="867"/>
      <c r="N27" s="884">
        <v>165</v>
      </c>
      <c r="O27" s="979">
        <f>+O17</f>
        <v>0</v>
      </c>
      <c r="P27" s="980">
        <f>+O27*24</f>
        <v>0</v>
      </c>
      <c r="Q27" s="981">
        <v>14000</v>
      </c>
      <c r="R27" s="981">
        <f>+Q27*P27</f>
        <v>0</v>
      </c>
      <c r="S27" s="982">
        <f>+Q27*$G$24</f>
        <v>2450</v>
      </c>
      <c r="T27" s="870">
        <f>+S27*C27</f>
        <v>0</v>
      </c>
      <c r="U27" s="867">
        <v>1650</v>
      </c>
      <c r="V27" s="870">
        <f>+U27*C27</f>
        <v>0</v>
      </c>
      <c r="W27" s="267"/>
      <c r="X27" s="214"/>
      <c r="Z27" s="262"/>
      <c r="AA27" s="262"/>
      <c r="AB27" s="267"/>
      <c r="AC27" s="267"/>
      <c r="AH27" s="885"/>
      <c r="AI27" s="885"/>
      <c r="AK27">
        <v>100</v>
      </c>
      <c r="AL27" s="885">
        <f>+AK27/100*$AB$30</f>
        <v>0</v>
      </c>
      <c r="AM27" s="267">
        <f>+AK27/100*$AC$30</f>
        <v>0</v>
      </c>
    </row>
    <row r="28" spans="2:39" ht="12.75" hidden="1" customHeight="1">
      <c r="B28" s="883">
        <f>+B18</f>
        <v>0</v>
      </c>
      <c r="C28" s="244">
        <f>+B28*24</f>
        <v>0</v>
      </c>
      <c r="D28" s="867">
        <v>16700</v>
      </c>
      <c r="E28" s="867">
        <f>+D28*C28</f>
        <v>0</v>
      </c>
      <c r="F28" s="884">
        <f>+D28*$G$24</f>
        <v>2922.5</v>
      </c>
      <c r="G28" s="870">
        <f>+F28*C28</f>
        <v>0</v>
      </c>
      <c r="H28" s="867">
        <v>0</v>
      </c>
      <c r="I28" s="867">
        <f>+H28*C28</f>
        <v>0</v>
      </c>
      <c r="J28" s="867"/>
      <c r="K28" s="867"/>
      <c r="L28" s="867"/>
      <c r="M28" s="867"/>
      <c r="N28" s="884">
        <v>205</v>
      </c>
      <c r="O28" s="979">
        <f>+O18</f>
        <v>0</v>
      </c>
      <c r="P28" s="980">
        <f>+O28*24</f>
        <v>0</v>
      </c>
      <c r="Q28" s="981">
        <v>16700</v>
      </c>
      <c r="R28" s="981">
        <f>+Q28*P28</f>
        <v>0</v>
      </c>
      <c r="S28" s="982">
        <f>+Q28*$G$24</f>
        <v>2922.5</v>
      </c>
      <c r="T28" s="870">
        <f>+S28*C28</f>
        <v>0</v>
      </c>
      <c r="U28" s="867">
        <v>2050</v>
      </c>
      <c r="V28" s="870">
        <f>+U28*C28</f>
        <v>0</v>
      </c>
      <c r="W28" s="267"/>
      <c r="X28" s="214"/>
      <c r="Z28" s="262"/>
      <c r="AA28" s="262"/>
      <c r="AB28" s="267"/>
      <c r="AC28" s="267"/>
      <c r="AH28" s="885"/>
      <c r="AI28" s="885"/>
      <c r="AK28">
        <v>102.5</v>
      </c>
      <c r="AL28" s="885">
        <f>+AK28/100*$AB$30</f>
        <v>0</v>
      </c>
      <c r="AM28" s="267">
        <f>+AK28/100*$AC$30</f>
        <v>0</v>
      </c>
    </row>
    <row r="29" spans="2:39" ht="12.75" hidden="1" customHeight="1">
      <c r="B29" s="883">
        <f>+B19</f>
        <v>0.16388888888888892</v>
      </c>
      <c r="C29" s="244">
        <f>+B29*24</f>
        <v>3.933333333333334</v>
      </c>
      <c r="D29" s="886">
        <f>+(E24-SUMPRODUCT(D25:D28,$C$25:$C$28))/$C$29</f>
        <v>15762.711864406778</v>
      </c>
      <c r="E29" s="867">
        <f>+D29*C29</f>
        <v>62000</v>
      </c>
      <c r="F29" s="884">
        <f>+D29*$G$24</f>
        <v>2758.4745762711859</v>
      </c>
      <c r="G29" s="870">
        <f>+F29*C29</f>
        <v>10850</v>
      </c>
      <c r="H29" s="886">
        <f>+(I24-SUMPRODUCT(H25:H28,$C$25:$C$28))/$C$29</f>
        <v>0</v>
      </c>
      <c r="I29" s="867">
        <f>+H29*C29</f>
        <v>0</v>
      </c>
      <c r="J29" s="867"/>
      <c r="K29" s="867"/>
      <c r="L29" s="867"/>
      <c r="M29" s="867"/>
      <c r="N29" s="887" t="e">
        <f>+(O24-SUMPRODUCT(N25:N28,$C$25:$C$28))/$C$29</f>
        <v>#VALUE!</v>
      </c>
      <c r="O29" s="979">
        <f>+O19</f>
        <v>0.18450431380878382</v>
      </c>
      <c r="P29" s="980">
        <f>+O29*24</f>
        <v>4.4281035314108115</v>
      </c>
      <c r="Q29" s="983">
        <f>+(R24-SUMPRODUCT(Q25:Q28,$C$25:$C$28))/$C$29</f>
        <v>15762.711864406778</v>
      </c>
      <c r="R29" s="981">
        <f>+Q29*P29</f>
        <v>69798.920071390748</v>
      </c>
      <c r="S29" s="982">
        <f>+Q29*$G$24</f>
        <v>2758.4745762711859</v>
      </c>
      <c r="T29" s="870">
        <f>+S29*C29</f>
        <v>10850</v>
      </c>
      <c r="U29" s="886">
        <f>+(V24-SUMPRODUCT(U25:U28,$C$25:$C$28))/$C$29</f>
        <v>1891.9491525423725</v>
      </c>
      <c r="V29" s="870">
        <f>+U29*C29</f>
        <v>7441.666666666667</v>
      </c>
      <c r="W29" s="267"/>
      <c r="X29" s="214"/>
      <c r="Z29" s="262"/>
      <c r="AA29" s="262"/>
      <c r="AB29" s="267"/>
      <c r="AC29" s="267"/>
      <c r="AH29" s="885"/>
      <c r="AI29" s="885"/>
      <c r="AK29">
        <v>105</v>
      </c>
      <c r="AL29" s="885">
        <f>+AK29/100*$AB$30</f>
        <v>0</v>
      </c>
      <c r="AM29" s="267">
        <f>+AK29/100*$AC$30</f>
        <v>0</v>
      </c>
    </row>
    <row r="30" spans="2:39" ht="12.75" hidden="1" customHeight="1">
      <c r="B30" s="888">
        <f>SUM(B25:B29)</f>
        <v>0.18472222222222226</v>
      </c>
      <c r="C30" s="889">
        <f>SUM(C25:C29)</f>
        <v>4.4333333333333336</v>
      </c>
      <c r="D30" s="880"/>
      <c r="E30" s="880">
        <f>SUM(E25:E29)</f>
        <v>67000</v>
      </c>
      <c r="F30" s="890"/>
      <c r="G30" s="882">
        <f>SUM(G25:G29)</f>
        <v>11725</v>
      </c>
      <c r="H30" s="880"/>
      <c r="I30" s="880">
        <f>SUM(I25:I29)</f>
        <v>0</v>
      </c>
      <c r="J30" s="880"/>
      <c r="K30" s="880"/>
      <c r="L30" s="880"/>
      <c r="M30" s="880"/>
      <c r="N30" s="890"/>
      <c r="O30" s="984">
        <f>SUM(O25:O29)</f>
        <v>0.20533764714211716</v>
      </c>
      <c r="P30" s="985">
        <f>SUM(P25:P29)</f>
        <v>4.9281035314108115</v>
      </c>
      <c r="Q30" s="977"/>
      <c r="R30" s="977">
        <f>SUM(R25:R29)</f>
        <v>74798.920071390748</v>
      </c>
      <c r="S30" s="986"/>
      <c r="T30" s="882">
        <f>SUM(T25:T29)</f>
        <v>11725</v>
      </c>
      <c r="U30" s="880"/>
      <c r="V30" s="882">
        <f>SUM(V25:V29)</f>
        <v>8000</v>
      </c>
      <c r="X30" s="210"/>
      <c r="AB30" s="323"/>
      <c r="AC30" s="323"/>
    </row>
    <row r="31" spans="2:39" ht="15.6">
      <c r="B31" s="901" t="s">
        <v>497</v>
      </c>
      <c r="O31" s="987" t="s">
        <v>497</v>
      </c>
      <c r="P31" s="750"/>
      <c r="Q31" s="750"/>
      <c r="R31" s="750"/>
      <c r="S31" s="750"/>
    </row>
    <row r="32" spans="2:39">
      <c r="O32" s="750"/>
      <c r="P32" s="750"/>
      <c r="Q32" s="750"/>
      <c r="R32" s="750"/>
      <c r="S32" s="750"/>
    </row>
    <row r="33" spans="2:35">
      <c r="B33" s="856" t="s">
        <v>563</v>
      </c>
      <c r="C33" s="857" t="s">
        <v>563</v>
      </c>
      <c r="D33" s="858" t="s">
        <v>225</v>
      </c>
      <c r="E33" s="859" t="s">
        <v>227</v>
      </c>
      <c r="F33" s="860" t="s">
        <v>564</v>
      </c>
      <c r="G33" s="861" t="s">
        <v>565</v>
      </c>
      <c r="H33" s="857" t="s">
        <v>227</v>
      </c>
      <c r="I33" s="857" t="s">
        <v>611</v>
      </c>
      <c r="J33" s="857" t="s">
        <v>609</v>
      </c>
      <c r="K33" s="857" t="s">
        <v>610</v>
      </c>
      <c r="O33" s="988" t="s">
        <v>563</v>
      </c>
      <c r="P33" s="989" t="s">
        <v>563</v>
      </c>
      <c r="Q33" s="990" t="s">
        <v>225</v>
      </c>
      <c r="R33" s="991" t="s">
        <v>227</v>
      </c>
      <c r="S33" s="992" t="s">
        <v>564</v>
      </c>
      <c r="T33" s="942" t="s">
        <v>565</v>
      </c>
      <c r="U33" s="862" t="s">
        <v>227</v>
      </c>
      <c r="V33" s="857" t="s">
        <v>611</v>
      </c>
      <c r="W33" s="857" t="s">
        <v>609</v>
      </c>
      <c r="X33" s="857" t="s">
        <v>610</v>
      </c>
    </row>
    <row r="34" spans="2:35">
      <c r="B34" s="863"/>
      <c r="C34" s="864" t="s">
        <v>566</v>
      </c>
      <c r="D34" s="865" t="s">
        <v>567</v>
      </c>
      <c r="E34" s="864" t="s">
        <v>212</v>
      </c>
      <c r="F34" s="865" t="s">
        <v>212</v>
      </c>
      <c r="G34" s="864" t="s">
        <v>567</v>
      </c>
      <c r="H34" s="864" t="s">
        <v>567</v>
      </c>
      <c r="I34" s="864" t="s">
        <v>271</v>
      </c>
      <c r="J34" s="864" t="s">
        <v>271</v>
      </c>
      <c r="K34" s="864" t="s">
        <v>271</v>
      </c>
      <c r="N34" s="267"/>
      <c r="O34" s="993"/>
      <c r="P34" s="994" t="s">
        <v>566</v>
      </c>
      <c r="Q34" s="995" t="s">
        <v>567</v>
      </c>
      <c r="R34" s="994" t="s">
        <v>212</v>
      </c>
      <c r="S34" s="994" t="s">
        <v>212</v>
      </c>
      <c r="T34" s="943" t="s">
        <v>567</v>
      </c>
      <c r="U34" s="865" t="s">
        <v>567</v>
      </c>
      <c r="V34" s="864" t="s">
        <v>271</v>
      </c>
      <c r="W34" s="864" t="s">
        <v>271</v>
      </c>
      <c r="X34" s="864" t="s">
        <v>271</v>
      </c>
      <c r="Z34" s="230"/>
      <c r="AA34" s="380"/>
      <c r="AB34" s="269">
        <v>1</v>
      </c>
      <c r="AC34" s="269">
        <v>2</v>
      </c>
      <c r="AD34" s="269">
        <v>3</v>
      </c>
      <c r="AE34" s="269">
        <v>4</v>
      </c>
      <c r="AF34" s="269">
        <v>5</v>
      </c>
      <c r="AG34" s="241">
        <v>6</v>
      </c>
      <c r="AH34" s="241" t="s">
        <v>612</v>
      </c>
      <c r="AI34" s="241" t="s">
        <v>613</v>
      </c>
    </row>
    <row r="35" spans="2:35">
      <c r="B35" s="891">
        <v>3.4722222222222224E-2</v>
      </c>
      <c r="C35" s="866">
        <f t="shared" ref="C35:C40" si="4">+B35*24</f>
        <v>0.83333333333333337</v>
      </c>
      <c r="D35" s="892">
        <v>1550</v>
      </c>
      <c r="E35" s="726">
        <v>34</v>
      </c>
      <c r="F35" s="893">
        <v>110</v>
      </c>
      <c r="G35" s="867">
        <f>IF(ISERR(AB37)=TRUE,0,AB37)</f>
        <v>8850.8907563025205</v>
      </c>
      <c r="H35" s="868">
        <f>IF(ISERR(AB38)=TRUE,0,AB38)</f>
        <v>1797.8371848739489</v>
      </c>
      <c r="I35" s="933">
        <f>+C35*G35</f>
        <v>7375.7422969187674</v>
      </c>
      <c r="J35" s="931">
        <f>+C35*D35</f>
        <v>1291.6666666666667</v>
      </c>
      <c r="K35" s="933">
        <f>+C35*H35</f>
        <v>1498.1976540616242</v>
      </c>
      <c r="L35" s="7"/>
      <c r="M35" s="7"/>
      <c r="O35" s="961">
        <f>+B35</f>
        <v>3.4722222222222224E-2</v>
      </c>
      <c r="P35" s="962">
        <f t="shared" ref="P35:S36" si="5">+C35</f>
        <v>0.83333333333333337</v>
      </c>
      <c r="Q35" s="996">
        <f t="shared" si="5"/>
        <v>1550</v>
      </c>
      <c r="R35" s="964">
        <f t="shared" si="5"/>
        <v>34</v>
      </c>
      <c r="S35" s="997">
        <f t="shared" si="5"/>
        <v>110</v>
      </c>
      <c r="T35" s="869">
        <f t="shared" ref="T35:X36" si="6">+G35</f>
        <v>8850.8907563025205</v>
      </c>
      <c r="U35" s="933">
        <f t="shared" si="6"/>
        <v>1797.8371848739489</v>
      </c>
      <c r="V35" s="869">
        <f t="shared" si="6"/>
        <v>7375.7422969187674</v>
      </c>
      <c r="W35" s="933">
        <f t="shared" si="6"/>
        <v>1291.6666666666667</v>
      </c>
      <c r="X35" s="933">
        <f t="shared" si="6"/>
        <v>1498.1976540616242</v>
      </c>
      <c r="Z35" s="159"/>
      <c r="AA35" s="240"/>
      <c r="AB35" s="867">
        <f>+$N$3*$F$35*$Z$16*D35/E35-$N$4</f>
        <v>10648.727941176468</v>
      </c>
      <c r="AC35" s="867">
        <f>+$N$3*$F$36*$Z$16*D36/E36-$N$4</f>
        <v>8624.6769230769205</v>
      </c>
      <c r="AD35" s="867">
        <f>+$N$3*$F$37*$Z$16*D37/E37-$N$4</f>
        <v>13304.269699418233</v>
      </c>
      <c r="AE35" s="867" t="e">
        <f>+$N$3*$F$38*$Z$16*D38/E38-$N$4</f>
        <v>#DIV/0!</v>
      </c>
      <c r="AF35" s="867" t="e">
        <f>+$N$3*$F$39*$Z$16*D39/E39-$N$4</f>
        <v>#DIV/0!</v>
      </c>
      <c r="AG35" s="870" t="e">
        <f>+$N$3*$F$40*$Z$16*D40/E40-$N$4</f>
        <v>#DIV/0!</v>
      </c>
      <c r="AH35" s="870">
        <f>+$N$3*$S$21*$Z$16*Q21/R21-$N$4</f>
        <v>10019.906576418487</v>
      </c>
      <c r="AI35" s="870">
        <f>+$N$3*$S$41*$Z$16*Q41/R41-$N$4</f>
        <v>8180.8823018030325</v>
      </c>
    </row>
    <row r="36" spans="2:35">
      <c r="B36" s="891">
        <v>1.3888888888888888E-2</v>
      </c>
      <c r="C36" s="866">
        <f t="shared" si="4"/>
        <v>0.33333333333333331</v>
      </c>
      <c r="D36" s="892">
        <v>1200</v>
      </c>
      <c r="E36" s="726">
        <v>32.5</v>
      </c>
      <c r="F36" s="893">
        <v>110</v>
      </c>
      <c r="G36" s="867">
        <f>IF(ISERR(AC37)=TRUE,0,AC37)</f>
        <v>7336.5758241758213</v>
      </c>
      <c r="H36" s="868">
        <f>IF(ISERR(AC38)=TRUE,0,AC38)</f>
        <v>1288.1010989010992</v>
      </c>
      <c r="I36" s="868">
        <f>+C36*G36+I35</f>
        <v>9821.2675716440408</v>
      </c>
      <c r="J36" s="884">
        <f>+C36*D36+J35</f>
        <v>1691.6666666666667</v>
      </c>
      <c r="K36" s="868">
        <f>+C36*H36+K35</f>
        <v>1927.5646870286573</v>
      </c>
      <c r="L36" s="869"/>
      <c r="M36" s="869"/>
      <c r="O36" s="961">
        <f>+B36</f>
        <v>1.3888888888888888E-2</v>
      </c>
      <c r="P36" s="962">
        <f t="shared" si="5"/>
        <v>0.33333333333333331</v>
      </c>
      <c r="Q36" s="996">
        <f t="shared" si="5"/>
        <v>1200</v>
      </c>
      <c r="R36" s="964">
        <f t="shared" si="5"/>
        <v>32.5</v>
      </c>
      <c r="S36" s="997">
        <f t="shared" si="5"/>
        <v>110</v>
      </c>
      <c r="T36" s="869">
        <f t="shared" si="6"/>
        <v>7336.5758241758213</v>
      </c>
      <c r="U36" s="868">
        <f t="shared" si="6"/>
        <v>1288.1010989010992</v>
      </c>
      <c r="V36" s="869">
        <f t="shared" si="6"/>
        <v>9821.2675716440408</v>
      </c>
      <c r="W36" s="868">
        <f t="shared" si="6"/>
        <v>1691.6666666666667</v>
      </c>
      <c r="X36" s="868">
        <f t="shared" si="6"/>
        <v>1927.5646870286573</v>
      </c>
      <c r="Z36" s="257"/>
      <c r="AA36" s="240"/>
      <c r="AB36" s="867">
        <f>+$N$3*$F$35*$Z$16*D35/100-$N$4*$Z$16</f>
        <v>3620.5674999999992</v>
      </c>
      <c r="AC36" s="867">
        <f>+$N$3*$F$36*$Z$16*D36/100-$N$4*$Z$16</f>
        <v>2803.0199999999995</v>
      </c>
      <c r="AD36" s="867">
        <f>+$N$3*$F$37*$Z$16*D37/100-$N$4*$Z$16</f>
        <v>4438.1150000000043</v>
      </c>
      <c r="AE36" s="867">
        <f>+$N$3*$F$38*$Z$16*D38/100-$N$4*$Z$16</f>
        <v>0</v>
      </c>
      <c r="AF36" s="867">
        <f>+$N$3*$F$39*$Z$16*D39/100-$N$4*$Z$16</f>
        <v>0</v>
      </c>
      <c r="AG36" s="870">
        <f>+$N$3*$F$40*$Z$16*D40/100-$N$4*$Z$16</f>
        <v>0</v>
      </c>
      <c r="AH36" s="870">
        <f>+$N$3*$S$21*$Z$16*Q21/100-$N$4*$Z$16</f>
        <v>4313.6563788326166</v>
      </c>
      <c r="AI36" s="870">
        <f>+$N$3*$S$41*$Z$16*Q41/100-$N$4*$Z$16</f>
        <v>2550.5245023329444</v>
      </c>
    </row>
    <row r="37" spans="2:35">
      <c r="B37" s="1049">
        <v>2.4305555555555552E-2</v>
      </c>
      <c r="C37" s="1050">
        <f t="shared" si="4"/>
        <v>0.58333333333333326</v>
      </c>
      <c r="D37" s="1051">
        <v>2200.0000000000009</v>
      </c>
      <c r="E37" s="1054">
        <v>33.358576609387839</v>
      </c>
      <c r="F37" s="1055">
        <v>95.000000000000071</v>
      </c>
      <c r="G37" s="867">
        <f>IF(ISERR(AD37)=TRUE,0,AD37)</f>
        <v>11168.921175882941</v>
      </c>
      <c r="H37" s="868">
        <f>IF(ISERR(AD38)=TRUE,0,AD38)</f>
        <v>2135.3485235352932</v>
      </c>
      <c r="I37" s="868">
        <f>+C37*G37+I36</f>
        <v>16336.471590909088</v>
      </c>
      <c r="J37" s="884">
        <f>+C37*D37+J36</f>
        <v>2975.0000000000005</v>
      </c>
      <c r="K37" s="868">
        <f>+C37*H37+K36</f>
        <v>3173.1846590909117</v>
      </c>
      <c r="L37" s="7"/>
      <c r="O37" s="965">
        <f>+P37/24</f>
        <v>1.1805555555555554E-2</v>
      </c>
      <c r="P37" s="966">
        <f>+P41-P35-P36</f>
        <v>0.28333333333333327</v>
      </c>
      <c r="Q37" s="967">
        <f>+(Q41*$P$41-Q36*$P$36-Q35*$P$35)/$P$37</f>
        <v>1135.5141166259939</v>
      </c>
      <c r="R37" s="968">
        <f>+(N3*S37*Z16*Q37)/(T37+U37+N4)</f>
        <v>-61.815255106389884</v>
      </c>
      <c r="S37" s="969">
        <f>+(S41*$P$41-S36*$P$36-S35*$P$35)/$P$37</f>
        <v>-10.264705882352986</v>
      </c>
      <c r="T37" s="945">
        <f>+(V37-V36)/P37</f>
        <v>1670.2697890607865</v>
      </c>
      <c r="U37" s="948">
        <f>+(X37-X36)/P37</f>
        <v>-1269.8683339724382</v>
      </c>
      <c r="V37" s="869">
        <f>+V41</f>
        <v>10294.510678544597</v>
      </c>
      <c r="W37" s="868">
        <f>+W41</f>
        <v>2013.3956663773649</v>
      </c>
      <c r="X37" s="868">
        <f>+X41</f>
        <v>1567.7686590697999</v>
      </c>
      <c r="Z37" s="152"/>
      <c r="AA37" s="202"/>
      <c r="AB37" s="871">
        <f t="array" ref="AB37:AB38">+MMULT(MINVERSE($Z$15:$AA$16),AB35:AB36)</f>
        <v>8850.8907563025205</v>
      </c>
      <c r="AC37" s="871">
        <f t="array" ref="AC37:AC38">+MMULT(MINVERSE($Z$15:$AA$16),AC35:AC36)</f>
        <v>7336.5758241758213</v>
      </c>
      <c r="AD37" s="871">
        <f t="array" ref="AD37:AD38">+MMULT(MINVERSE($Z$15:$AA$16),AD35:AD36)</f>
        <v>11168.921175882941</v>
      </c>
      <c r="AE37" s="871" t="e">
        <f t="array" ref="AE37:AE38">+MMULT(MINVERSE($Z$15:$AA$16),AE35:AE36)</f>
        <v>#DIV/0!</v>
      </c>
      <c r="AF37" s="871" t="e">
        <f t="array" ref="AF37:AF38">+MMULT(MINVERSE($Z$15:$AA$16),AF35:AF36)</f>
        <v>#DIV/0!</v>
      </c>
      <c r="AG37" s="872" t="e">
        <f t="array" ref="AG37:AG38">+MMULT(MINVERSE($Z$15:$AA$16),AG35:AG36)</f>
        <v>#DIV/0!</v>
      </c>
      <c r="AH37" s="872">
        <f t="array" ref="AH37:AH38">+MMULT(MINVERSE($Z$15:$AA$16),AH35:AH36)</f>
        <v>7150.4572286461043</v>
      </c>
      <c r="AI37" s="872">
        <f t="array" ref="AI37:AI38">+MMULT(MINVERSE($Z$15:$AA$16),AI35:AI36)</f>
        <v>7099.6625369273079</v>
      </c>
    </row>
    <row r="38" spans="2:35" hidden="1">
      <c r="B38" s="891"/>
      <c r="C38" s="866">
        <f t="shared" si="4"/>
        <v>0</v>
      </c>
      <c r="D38" s="892"/>
      <c r="E38" s="726"/>
      <c r="F38" s="893"/>
      <c r="G38" s="867">
        <f>IF(ISERR(AE37)=TRUE,0,AE37)</f>
        <v>0</v>
      </c>
      <c r="H38" s="868">
        <f>IF(ISERR(AE38)=TRUE,0,AE38)</f>
        <v>0</v>
      </c>
      <c r="I38" s="868">
        <f>+C38*G38+I37</f>
        <v>16336.471590909088</v>
      </c>
      <c r="J38" s="884">
        <f>+C38*D38+J37</f>
        <v>2975.0000000000005</v>
      </c>
      <c r="K38" s="868">
        <f>+C38*H38+K37</f>
        <v>3173.1846590909117</v>
      </c>
      <c r="L38" s="7"/>
      <c r="O38" s="998"/>
      <c r="P38" s="999"/>
      <c r="Q38" s="1000"/>
      <c r="R38" s="1001"/>
      <c r="S38" s="1002"/>
      <c r="T38" s="946"/>
      <c r="U38" s="949"/>
      <c r="V38" s="946"/>
      <c r="W38" s="949"/>
      <c r="X38" s="949"/>
      <c r="Z38" s="136"/>
      <c r="AA38" s="185"/>
      <c r="AB38" s="873">
        <v>1797.8371848739489</v>
      </c>
      <c r="AC38" s="873">
        <v>1288.1010989010992</v>
      </c>
      <c r="AD38" s="873">
        <v>2135.3485235352932</v>
      </c>
      <c r="AE38" s="873" t="e">
        <v>#DIV/0!</v>
      </c>
      <c r="AF38" s="873" t="e">
        <v>#DIV/0!</v>
      </c>
      <c r="AG38" s="874" t="e">
        <v>#DIV/0!</v>
      </c>
      <c r="AH38" s="874">
        <v>2869.4493477723827</v>
      </c>
      <c r="AI38" s="874">
        <v>1081.2197648757242</v>
      </c>
    </row>
    <row r="39" spans="2:35" hidden="1">
      <c r="B39" s="891"/>
      <c r="C39" s="866">
        <f t="shared" si="4"/>
        <v>0</v>
      </c>
      <c r="D39" s="892"/>
      <c r="E39" s="726"/>
      <c r="F39" s="893"/>
      <c r="G39" s="867">
        <f>IF(ISERR(AF37)=TRUE,0,AF37)</f>
        <v>0</v>
      </c>
      <c r="H39" s="868">
        <f>IF(ISERR(AF38)=TRUE,0,AF38)</f>
        <v>0</v>
      </c>
      <c r="I39" s="868">
        <f>+C39*G39+I38</f>
        <v>16336.471590909088</v>
      </c>
      <c r="J39" s="884">
        <f>+C39*D39+J38</f>
        <v>2975.0000000000005</v>
      </c>
      <c r="K39" s="868">
        <f>+C39*H39+K38</f>
        <v>3173.1846590909117</v>
      </c>
      <c r="L39" s="7"/>
      <c r="O39" s="998"/>
      <c r="P39" s="999"/>
      <c r="Q39" s="1000"/>
      <c r="R39" s="1001"/>
      <c r="S39" s="1002"/>
      <c r="T39" s="946"/>
      <c r="U39" s="949"/>
      <c r="V39" s="946"/>
      <c r="W39" s="949"/>
      <c r="X39" s="949"/>
    </row>
    <row r="40" spans="2:35">
      <c r="B40" s="891"/>
      <c r="C40" s="866">
        <f t="shared" si="4"/>
        <v>0</v>
      </c>
      <c r="D40" s="892"/>
      <c r="E40" s="726"/>
      <c r="F40" s="894"/>
      <c r="G40" s="873">
        <f>IF(ISERR(AG37)=TRUE,0,AG37)</f>
        <v>0</v>
      </c>
      <c r="H40" s="875">
        <f>IF(ISERR(AG38)=TRUE,0,AG38)</f>
        <v>0</v>
      </c>
      <c r="I40" s="875">
        <f>+C40*G40+I39</f>
        <v>16336.471590909088</v>
      </c>
      <c r="J40" s="890">
        <f>+C40*D40+J39</f>
        <v>2975.0000000000005</v>
      </c>
      <c r="K40" s="910">
        <f>+C40*H40+K39</f>
        <v>3173.1846590909117</v>
      </c>
      <c r="L40" s="7"/>
      <c r="O40" s="1003"/>
      <c r="P40" s="999"/>
      <c r="Q40" s="1004"/>
      <c r="R40" s="1005"/>
      <c r="S40" s="1006"/>
      <c r="T40" s="946"/>
      <c r="U40" s="949"/>
      <c r="V40" s="946"/>
      <c r="W40" s="950"/>
      <c r="X40" s="950"/>
    </row>
    <row r="41" spans="2:35" ht="13.8">
      <c r="B41" s="876">
        <f>SUM(B35:B40)</f>
        <v>7.2916666666666657E-2</v>
      </c>
      <c r="C41" s="877">
        <f>SUM(C35:C40)</f>
        <v>1.75</v>
      </c>
      <c r="D41" s="878">
        <f>+SUMPRODUCT(D35:D40,$B$35:$B$40)/$B$41</f>
        <v>1700.0000000000005</v>
      </c>
      <c r="E41" s="937">
        <f>(N3*F41*Z16*D41)/(I40/C41+K40/C41+N4)</f>
        <v>34.000000000000014</v>
      </c>
      <c r="F41" s="879">
        <f>+SUMPRODUCT(F35:F40,$B$35:$B$40)/$B$41</f>
        <v>105.00000000000004</v>
      </c>
      <c r="G41" s="958">
        <f>+AI17</f>
        <v>9266.1818181818162</v>
      </c>
      <c r="H41" s="958">
        <f>+AI18</f>
        <v>1882.1931818181838</v>
      </c>
      <c r="I41" s="959">
        <f>+C41*G41</f>
        <v>16215.818181818178</v>
      </c>
      <c r="J41" s="960">
        <f>+D41*C41</f>
        <v>2975.0000000000009</v>
      </c>
      <c r="K41" s="960">
        <f>+C41*H41</f>
        <v>3293.8380681818217</v>
      </c>
      <c r="O41" s="970">
        <f>+P41/24</f>
        <v>6.0416666666666667E-2</v>
      </c>
      <c r="P41" s="971">
        <f>+Principal!Q65</f>
        <v>1.45</v>
      </c>
      <c r="Q41" s="972">
        <f>+Principal!Q59</f>
        <v>1388.5487354326656</v>
      </c>
      <c r="R41" s="938">
        <f>+Principal!Q61</f>
        <v>31.176643401541412</v>
      </c>
      <c r="S41" s="973">
        <f>+Principal!Q63</f>
        <v>86.5</v>
      </c>
      <c r="T41" s="947">
        <f>+AI37</f>
        <v>7099.6625369273079</v>
      </c>
      <c r="U41" s="940">
        <f>+AI38</f>
        <v>1081.2197648757242</v>
      </c>
      <c r="V41" s="944">
        <f>+P41*T41</f>
        <v>10294.510678544597</v>
      </c>
      <c r="W41" s="941">
        <f>+Q41*P41</f>
        <v>2013.3956663773649</v>
      </c>
      <c r="X41" s="941">
        <f>+P41*U41</f>
        <v>1567.7686590697999</v>
      </c>
    </row>
    <row r="44" spans="2:35" ht="15.6">
      <c r="B44" s="901" t="s">
        <v>12</v>
      </c>
    </row>
    <row r="45" spans="2:35">
      <c r="M45" s="267"/>
    </row>
    <row r="46" spans="2:35">
      <c r="B46" s="856" t="s">
        <v>563</v>
      </c>
      <c r="C46" s="857" t="s">
        <v>563</v>
      </c>
      <c r="D46" s="935" t="s">
        <v>225</v>
      </c>
      <c r="E46" s="936" t="s">
        <v>227</v>
      </c>
      <c r="M46" s="267"/>
    </row>
    <row r="47" spans="2:35">
      <c r="B47" s="863"/>
      <c r="C47" s="864" t="s">
        <v>566</v>
      </c>
      <c r="D47" s="865" t="s">
        <v>271</v>
      </c>
      <c r="E47" s="864" t="s">
        <v>271</v>
      </c>
      <c r="M47" s="267"/>
    </row>
    <row r="48" spans="2:35" ht="13.8">
      <c r="B48" s="876">
        <f>+B41+B21+B7</f>
        <v>0.2680555555555556</v>
      </c>
      <c r="C48" s="877">
        <f>+C41+C21+C7</f>
        <v>6.4333333333333336</v>
      </c>
      <c r="D48" s="878">
        <f>+J40+J19+J7</f>
        <v>11091.666666666668</v>
      </c>
      <c r="E48" s="934">
        <f>+K40+K19+K7</f>
        <v>13440.12103119514</v>
      </c>
    </row>
  </sheetData>
  <sheetProtection password="CFDD" sheet="1" objects="1" scenarios="1"/>
  <mergeCells count="1">
    <mergeCell ref="B1:K1"/>
  </mergeCells>
  <phoneticPr fontId="10" type="noConversion"/>
  <pageMargins left="0.75" right="0.75" top="1" bottom="1" header="0" footer="0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C6D26-5F3B-494A-8517-64DC71F445C8}">
  <sheetPr codeName="Hoja5"/>
  <dimension ref="A1:FJ268"/>
  <sheetViews>
    <sheetView workbookViewId="0">
      <selection activeCell="N28" sqref="N28"/>
    </sheetView>
  </sheetViews>
  <sheetFormatPr baseColWidth="10" defaultRowHeight="13.2"/>
  <cols>
    <col min="1" max="1" width="3.88671875" customWidth="1"/>
    <col min="2" max="2" width="13.109375" customWidth="1"/>
    <col min="3" max="3" width="12.109375" customWidth="1"/>
    <col min="4" max="4" width="11.5546875" bestFit="1" customWidth="1"/>
    <col min="5" max="5" width="12.6640625" customWidth="1"/>
    <col min="6" max="7" width="11.33203125" customWidth="1"/>
    <col min="10" max="10" width="11.88671875" customWidth="1"/>
    <col min="11" max="11" width="11.33203125" customWidth="1"/>
    <col min="13" max="13" width="14.88671875" customWidth="1"/>
    <col min="14" max="14" width="15.44140625" bestFit="1" customWidth="1"/>
    <col min="16" max="16" width="12.44140625" bestFit="1" customWidth="1"/>
    <col min="17" max="17" width="12.5546875" customWidth="1"/>
    <col min="18" max="18" width="13.109375" customWidth="1"/>
    <col min="20" max="20" width="12.5546875" bestFit="1" customWidth="1"/>
    <col min="22" max="22" width="11.88671875" customWidth="1"/>
    <col min="23" max="23" width="12.5546875" bestFit="1" customWidth="1"/>
    <col min="24" max="24" width="11.5546875" bestFit="1" customWidth="1"/>
  </cols>
  <sheetData>
    <row r="1" spans="1:36" ht="17.399999999999999">
      <c r="A1" s="274" t="s">
        <v>256</v>
      </c>
      <c r="I1" t="s">
        <v>536</v>
      </c>
    </row>
    <row r="2" spans="1:36">
      <c r="A2" s="190"/>
    </row>
    <row r="3" spans="1:36" ht="15.6">
      <c r="A3" s="158" t="s">
        <v>253</v>
      </c>
      <c r="I3" s="287" t="s">
        <v>265</v>
      </c>
      <c r="W3" s="210"/>
      <c r="AG3" t="s">
        <v>169</v>
      </c>
    </row>
    <row r="4" spans="1:36">
      <c r="K4" s="220" t="s">
        <v>233</v>
      </c>
      <c r="M4" s="220" t="s">
        <v>601</v>
      </c>
      <c r="O4" t="s">
        <v>272</v>
      </c>
      <c r="Q4" s="924"/>
      <c r="W4" s="267"/>
      <c r="AG4" s="207" t="s">
        <v>165</v>
      </c>
    </row>
    <row r="5" spans="1:36">
      <c r="A5" s="152"/>
      <c r="B5" s="183"/>
      <c r="C5" s="188" t="s">
        <v>28</v>
      </c>
      <c r="D5" s="189" t="s">
        <v>152</v>
      </c>
      <c r="E5" s="189" t="s">
        <v>153</v>
      </c>
      <c r="F5" s="189" t="s">
        <v>224</v>
      </c>
      <c r="G5" s="273" t="s">
        <v>12</v>
      </c>
      <c r="I5" s="286" t="s">
        <v>225</v>
      </c>
      <c r="K5" s="618">
        <f>+Principal!Q10*Carga!O50/22.4</f>
        <v>1451.3888462602308</v>
      </c>
      <c r="L5" t="s">
        <v>259</v>
      </c>
      <c r="M5" s="297">
        <f>Perfil!D7*Carga!O50/22.4</f>
        <v>628.17142857142869</v>
      </c>
      <c r="O5" s="237" t="s">
        <v>226</v>
      </c>
      <c r="P5" s="269" t="s">
        <v>227</v>
      </c>
      <c r="Q5" s="278" t="s">
        <v>271</v>
      </c>
      <c r="W5" s="267"/>
      <c r="AG5" s="207" t="s">
        <v>166</v>
      </c>
    </row>
    <row r="6" spans="1:36">
      <c r="A6" s="135"/>
      <c r="B6" s="100"/>
      <c r="C6" s="155" t="s">
        <v>151</v>
      </c>
      <c r="D6" s="186" t="s">
        <v>151</v>
      </c>
      <c r="E6" s="186" t="s">
        <v>151</v>
      </c>
      <c r="F6" s="186" t="s">
        <v>151</v>
      </c>
      <c r="G6" s="272" t="s">
        <v>151</v>
      </c>
      <c r="I6" s="266" t="s">
        <v>261</v>
      </c>
      <c r="K6" s="294">
        <f>+Principal!Q12</f>
        <v>43.050864256405958</v>
      </c>
      <c r="L6" t="s">
        <v>212</v>
      </c>
      <c r="M6" s="297">
        <f>+Perfil!E7</f>
        <v>21</v>
      </c>
      <c r="O6" s="257">
        <v>1</v>
      </c>
      <c r="P6" s="224">
        <v>1</v>
      </c>
      <c r="Q6" s="288">
        <f>+(L15*M5/1000*M11*1000*M8/100*O7)/M6*100-M7*M11</f>
        <v>775.24603174603146</v>
      </c>
      <c r="AG6" s="175" t="s">
        <v>167</v>
      </c>
    </row>
    <row r="7" spans="1:36">
      <c r="B7" s="183" t="s">
        <v>254</v>
      </c>
      <c r="C7" s="284">
        <f>+Carga!C4</f>
        <v>92.5</v>
      </c>
      <c r="D7" s="285">
        <f>+Carga!C15</f>
        <v>0.1</v>
      </c>
      <c r="E7" s="285">
        <f>+Carga!E43</f>
        <v>48.0695652173913</v>
      </c>
      <c r="F7" s="311">
        <f>+macro!B25</f>
        <v>11.700845323327771</v>
      </c>
      <c r="G7" s="183"/>
      <c r="I7" s="266" t="s">
        <v>262</v>
      </c>
      <c r="K7" s="294">
        <f>+Factores!D3</f>
        <v>0</v>
      </c>
      <c r="L7" t="s">
        <v>268</v>
      </c>
      <c r="M7" s="297"/>
      <c r="O7" s="271">
        <f>+I47</f>
        <v>0.21</v>
      </c>
      <c r="P7" s="249">
        <f>+J47</f>
        <v>0.98</v>
      </c>
      <c r="Q7" s="289">
        <f>+L15*M5/1000*M11*1000*M8/100*O7-M7*M11*O7</f>
        <v>162.80166666666659</v>
      </c>
      <c r="AG7" s="175" t="s">
        <v>174</v>
      </c>
      <c r="AJ7" t="s">
        <v>175</v>
      </c>
    </row>
    <row r="8" spans="1:36">
      <c r="A8" s="135"/>
      <c r="B8" s="260" t="s">
        <v>228</v>
      </c>
      <c r="C8" s="216">
        <f>+Carga!C4*(1-Carga!D4/100)</f>
        <v>86.078358316666666</v>
      </c>
      <c r="D8" s="217">
        <f>+Carga!C15*(1-Carga!D15/100)</f>
        <v>9.9000000000000005E-2</v>
      </c>
      <c r="E8" s="217">
        <f>+Carga!E43*(1-Carga!F43/100)</f>
        <v>46.85108695652174</v>
      </c>
      <c r="F8" s="1215">
        <f>+F7*(1-Carga!O46/100)</f>
        <v>11.115803057161381</v>
      </c>
      <c r="G8" s="270"/>
      <c r="I8" s="266" t="s">
        <v>263</v>
      </c>
      <c r="K8" s="294">
        <f>+Principal!Q14</f>
        <v>109.9</v>
      </c>
      <c r="L8" t="s">
        <v>212</v>
      </c>
      <c r="M8" s="297">
        <f>+Perfil!F7</f>
        <v>115</v>
      </c>
      <c r="AG8" s="175" t="s">
        <v>176</v>
      </c>
    </row>
    <row r="9" spans="1:36">
      <c r="A9" s="153">
        <v>1</v>
      </c>
      <c r="B9" s="187" t="s">
        <v>104</v>
      </c>
      <c r="C9" s="239">
        <f>C8*'Analisis Conc.'!F79/100</f>
        <v>40.074689318566286</v>
      </c>
      <c r="D9" s="180"/>
      <c r="E9" s="180">
        <f>$E$8*SUMPRODUCT(Carga!$AF$19:$AF$31,'Analisis Otros'!Q18:Q30)/Carga!$E$43/100</f>
        <v>24.700761017018891</v>
      </c>
      <c r="F9" s="240"/>
      <c r="G9" s="235">
        <f t="shared" ref="G9:G37" si="0">+SUM(C9:F9)</f>
        <v>64.775450335585177</v>
      </c>
      <c r="I9" s="266" t="s">
        <v>266</v>
      </c>
      <c r="K9" s="294">
        <f>+Factores!D4</f>
        <v>0</v>
      </c>
      <c r="L9" t="s">
        <v>212</v>
      </c>
      <c r="M9" s="297">
        <f>+K9</f>
        <v>0</v>
      </c>
      <c r="O9" s="134"/>
      <c r="P9" s="269" t="s">
        <v>271</v>
      </c>
      <c r="Q9" s="241" t="s">
        <v>268</v>
      </c>
    </row>
    <row r="10" spans="1:36">
      <c r="A10" s="159">
        <v>2</v>
      </c>
      <c r="B10" s="187" t="s">
        <v>136</v>
      </c>
      <c r="C10" s="239"/>
      <c r="D10" s="180"/>
      <c r="E10" s="180">
        <f>$E$8*SUMPRODUCT(Carga!$AF$19:$AF$31,'Analisis Otros'!R18:R30)/Carga!$E$43/100</f>
        <v>0</v>
      </c>
      <c r="F10" s="240"/>
      <c r="G10" s="235">
        <f t="shared" si="0"/>
        <v>0</v>
      </c>
      <c r="I10" s="266" t="s">
        <v>267</v>
      </c>
      <c r="K10" s="294">
        <f>+Factores!D5</f>
        <v>98</v>
      </c>
      <c r="L10" t="s">
        <v>212</v>
      </c>
      <c r="M10" s="297"/>
      <c r="O10" s="183" t="s">
        <v>226</v>
      </c>
      <c r="P10" s="259">
        <f t="array" ref="P10:P11">+(MMULT(MINVERSE(O6:P7),Q6:Q7))</f>
        <v>775.24603174603146</v>
      </c>
      <c r="Q10" s="925">
        <f>+P10/M11</f>
        <v>9302.952380952378</v>
      </c>
      <c r="AG10" s="175" t="s">
        <v>168</v>
      </c>
      <c r="AI10">
        <v>1150</v>
      </c>
    </row>
    <row r="11" spans="1:36">
      <c r="A11" s="159">
        <v>3</v>
      </c>
      <c r="B11" s="187" t="s">
        <v>133</v>
      </c>
      <c r="C11" s="239"/>
      <c r="D11" s="180"/>
      <c r="E11" s="180">
        <f>$E$8*SUMPRODUCT(Carga!$AF$19:$AF$31,'Analisis Otros'!S18:S30)/Carga!$E$43/100</f>
        <v>1.8862208715322601</v>
      </c>
      <c r="F11" s="240"/>
      <c r="G11" s="235">
        <f t="shared" si="0"/>
        <v>1.8862208715322601</v>
      </c>
      <c r="I11" s="266" t="s">
        <v>264</v>
      </c>
      <c r="K11" s="294">
        <f>+Principal!Q16</f>
        <v>5.0947701980774784</v>
      </c>
      <c r="L11" t="s">
        <v>260</v>
      </c>
      <c r="M11" s="1208">
        <f>+Perfil!C7</f>
        <v>8.3333333333333329E-2</v>
      </c>
      <c r="O11" s="260" t="s">
        <v>227</v>
      </c>
      <c r="P11" s="268">
        <v>0</v>
      </c>
      <c r="Q11" s="289">
        <f>+P11/M11</f>
        <v>0</v>
      </c>
      <c r="AG11" s="175" t="s">
        <v>192</v>
      </c>
    </row>
    <row r="12" spans="1:36">
      <c r="A12" s="159">
        <v>4</v>
      </c>
      <c r="B12" s="187" t="s">
        <v>7</v>
      </c>
      <c r="C12" s="239"/>
      <c r="D12" s="180"/>
      <c r="E12" s="180">
        <f>$E$8*SUMPRODUCT(Carga!$AF$19:$AF$31,'Analisis Otros'!P18:P30)/Carga!$E$43/100</f>
        <v>-0.70717146320945345</v>
      </c>
      <c r="F12" s="240"/>
      <c r="G12" s="235">
        <f t="shared" si="0"/>
        <v>-0.70717146320945345</v>
      </c>
      <c r="AG12" s="175" t="s">
        <v>170</v>
      </c>
    </row>
    <row r="13" spans="1:36">
      <c r="A13" s="159">
        <v>5</v>
      </c>
      <c r="B13" s="187" t="s">
        <v>208</v>
      </c>
      <c r="C13" s="239"/>
      <c r="D13" s="180"/>
      <c r="E13" s="180">
        <f>$E$8*SUMPRODUCT(Carga!$AF$19:$AF$31,'Analisis Otros'!T18:T30)/Carga!$E$43/100</f>
        <v>2.1602005721914042</v>
      </c>
      <c r="F13" s="240"/>
      <c r="G13" s="235">
        <f t="shared" si="0"/>
        <v>2.1602005721914042</v>
      </c>
      <c r="O13" t="s">
        <v>274</v>
      </c>
      <c r="P13" s="332">
        <f>+(L15*M5/1000*M11*1000*I47*(M8-100)/100)*32/ 22.4/1000</f>
        <v>3.0335714285714278E-2</v>
      </c>
      <c r="Q13" t="s">
        <v>229</v>
      </c>
      <c r="AG13" s="175" t="s">
        <v>171</v>
      </c>
    </row>
    <row r="14" spans="1:36">
      <c r="A14" s="159">
        <v>6</v>
      </c>
      <c r="B14" s="187" t="s">
        <v>132</v>
      </c>
      <c r="C14" s="239">
        <f>C8*'Analisis Conc.'!G79/100</f>
        <v>7.7034092848370381</v>
      </c>
      <c r="D14" s="180">
        <f>D8*SUMPRODUCT(Carga!$C$8:$C$13,'Analisis Otros'!L6:L11)/Carga!$C$15/100</f>
        <v>1.4154252461951654E-4</v>
      </c>
      <c r="E14" s="180">
        <f>$E$8*SUMPRODUCT(Carga!$AF$19:$AF$31,'Analisis Otros'!U18:U30)/Carga!$E$43/100</f>
        <v>1.3937038920538505</v>
      </c>
      <c r="F14" s="181">
        <f>+F8*Carga!M46/100*Factores!C56/100</f>
        <v>0.52021958307515248</v>
      </c>
      <c r="G14" s="235">
        <f t="shared" si="0"/>
        <v>9.6174743024906597</v>
      </c>
      <c r="AG14" s="175" t="s">
        <v>172</v>
      </c>
    </row>
    <row r="15" spans="1:36">
      <c r="A15" s="159">
        <v>7</v>
      </c>
      <c r="B15" s="187" t="s">
        <v>106</v>
      </c>
      <c r="C15" s="239">
        <f>C8*'Analisis Conc.'!H79/100</f>
        <v>0.53962660686696617</v>
      </c>
      <c r="D15" s="180"/>
      <c r="E15" s="180">
        <f>$E$8*SUMPRODUCT(Carga!$AF$19:$AF$31,'Analisis Otros'!W18:W30)/Carga!$E$43/100</f>
        <v>0</v>
      </c>
      <c r="F15" s="240"/>
      <c r="G15" s="235">
        <f t="shared" si="0"/>
        <v>0.53962660686696617</v>
      </c>
      <c r="I15" s="266" t="s">
        <v>258</v>
      </c>
      <c r="L15" s="157">
        <f>+(C45*32/12+C46*16/2+C49-C47)*22.4/32/I47/C44</f>
        <v>12.877891991873613</v>
      </c>
      <c r="M15" t="s">
        <v>269</v>
      </c>
      <c r="AG15" s="175" t="s">
        <v>173</v>
      </c>
    </row>
    <row r="16" spans="1:36">
      <c r="A16" s="159">
        <v>8</v>
      </c>
      <c r="B16" s="187" t="s">
        <v>134</v>
      </c>
      <c r="C16" s="239"/>
      <c r="D16" s="180"/>
      <c r="E16" s="180">
        <f>$E$8*SUMPRODUCT(Carga!$AF$19:$AF$31,'Analisis Otros'!V18:V30)/Carga!$E$43/100</f>
        <v>0</v>
      </c>
      <c r="F16" s="240"/>
      <c r="G16" s="235">
        <f t="shared" si="0"/>
        <v>0</v>
      </c>
      <c r="H16" s="7"/>
      <c r="AG16" s="175" t="s">
        <v>177</v>
      </c>
    </row>
    <row r="17" spans="1:34">
      <c r="A17" s="159">
        <v>9</v>
      </c>
      <c r="B17" s="187" t="s">
        <v>10</v>
      </c>
      <c r="C17" s="239"/>
      <c r="D17" s="180"/>
      <c r="E17" s="180">
        <f>$E$8*SUMPRODUCT(Carga!$AF$19:$AF$31,'Analisis Otros'!X18:X30)/Carga!$E$43/100</f>
        <v>0</v>
      </c>
      <c r="F17" s="240"/>
      <c r="G17" s="235">
        <f t="shared" si="0"/>
        <v>0</v>
      </c>
      <c r="H17" s="7"/>
      <c r="AG17" s="175" t="s">
        <v>178</v>
      </c>
    </row>
    <row r="18" spans="1:34">
      <c r="A18" s="159">
        <v>10</v>
      </c>
      <c r="B18" s="187" t="s">
        <v>93</v>
      </c>
      <c r="C18" s="239">
        <f>C8*'Analisis Conc.'!I79/100</f>
        <v>14.560291788987524</v>
      </c>
      <c r="D18" s="180">
        <f>D8*SUMPRODUCT(Carga!$C$8:$C$13,'Analisis Otros'!J6:J11)/Carga!$C$15/100</f>
        <v>1.98E-3</v>
      </c>
      <c r="E18" s="180">
        <f>$E$8*SUMPRODUCT(Carga!$AF$19:$AF$31,'Analisis Otros'!Y18:Y30)/Carga!$E$43/100</f>
        <v>0.55911254906051411</v>
      </c>
      <c r="F18" s="181">
        <f>+F8*Carga!M46/100*Factores!C54/100</f>
        <v>0.69362611076686997</v>
      </c>
      <c r="G18" s="235">
        <f t="shared" si="0"/>
        <v>15.815010448814906</v>
      </c>
      <c r="H18" s="7"/>
      <c r="I18" t="s">
        <v>291</v>
      </c>
      <c r="L18" s="316">
        <f>+Principal!Q18</f>
        <v>600</v>
      </c>
      <c r="M18" t="s">
        <v>292</v>
      </c>
      <c r="N18" s="190" t="s">
        <v>757</v>
      </c>
      <c r="AG18" s="175" t="s">
        <v>179</v>
      </c>
    </row>
    <row r="19" spans="1:34">
      <c r="A19" s="159">
        <v>11</v>
      </c>
      <c r="B19" s="187" t="s">
        <v>105</v>
      </c>
      <c r="C19" s="239">
        <f>C8*'Analisis Conc.'!J79/100</f>
        <v>5.9732071047701512</v>
      </c>
      <c r="D19" s="180">
        <f>D8*SUMPRODUCT(Carga!$C$8:$C$13,'Analisis Otros'!K6:K11)/Carga!$C$15/100</f>
        <v>9.9000000000000008E-5</v>
      </c>
      <c r="E19" s="180">
        <f>$E$8*SUMPRODUCT(Carga!$AF$19:$AF$31,'Analisis Otros'!Z18:Z30)/Carga!$E$43/100</f>
        <v>0.2323881714905934</v>
      </c>
      <c r="F19" s="181">
        <f>+F8*Carga!M46/100*Factores!C55/100</f>
        <v>0.52021958307515248</v>
      </c>
      <c r="G19" s="235">
        <f t="shared" si="0"/>
        <v>6.7259138593358969</v>
      </c>
      <c r="H19" s="7"/>
      <c r="I19" t="s">
        <v>293</v>
      </c>
      <c r="L19" s="619">
        <f>4-2*(0.02+0.05+0.263)</f>
        <v>3.3340000000000001</v>
      </c>
      <c r="M19" t="s">
        <v>294</v>
      </c>
      <c r="N19" s="1223">
        <f>4-2*(0.02+0.05+0.3)</f>
        <v>3.26</v>
      </c>
      <c r="O19">
        <v>300</v>
      </c>
      <c r="P19" s="266" t="s">
        <v>292</v>
      </c>
      <c r="T19">
        <f>4-2*(0.02+0.05+0.1246)</f>
        <v>3.6108000000000002</v>
      </c>
      <c r="U19" s="1237">
        <v>0.12459999999999999</v>
      </c>
      <c r="AG19" s="175" t="s">
        <v>180</v>
      </c>
    </row>
    <row r="20" spans="1:34">
      <c r="A20" s="159">
        <v>12</v>
      </c>
      <c r="B20" s="187" t="s">
        <v>129</v>
      </c>
      <c r="C20" s="239">
        <f>C8*'Analisis Conc.'!O79/100</f>
        <v>1.2817440782902612</v>
      </c>
      <c r="D20" s="180"/>
      <c r="E20" s="180">
        <f>$E$8*SUMPRODUCT(Carga!$AF$19:$AF$31,'Analisis Otros'!AA18:AA30)/Carga!$E$43/100</f>
        <v>10.96293475454406</v>
      </c>
      <c r="F20" s="240"/>
      <c r="G20" s="235">
        <f t="shared" si="0"/>
        <v>12.244678832834321</v>
      </c>
      <c r="H20" s="7"/>
      <c r="I20" t="s">
        <v>295</v>
      </c>
      <c r="L20" s="1120">
        <v>2.5</v>
      </c>
      <c r="M20" t="s">
        <v>296</v>
      </c>
      <c r="O20">
        <v>100</v>
      </c>
      <c r="P20" s="266" t="s">
        <v>292</v>
      </c>
      <c r="Q20">
        <f>+O19-O20</f>
        <v>200</v>
      </c>
      <c r="R20">
        <f>+Q20/11</f>
        <v>18.181818181818183</v>
      </c>
      <c r="AG20" s="175"/>
    </row>
    <row r="21" spans="1:34">
      <c r="A21" s="159">
        <v>13</v>
      </c>
      <c r="B21" s="187" t="s">
        <v>131</v>
      </c>
      <c r="C21" s="239"/>
      <c r="D21" s="180"/>
      <c r="E21" s="180">
        <f>$E$8*SUMPRODUCT(Carga!$AF$19:$AF$31,'Analisis Otros'!AB18:AB30)/Carga!$E$43/100</f>
        <v>0</v>
      </c>
      <c r="F21" s="240"/>
      <c r="G21" s="235">
        <f t="shared" si="0"/>
        <v>0</v>
      </c>
      <c r="H21" s="7"/>
      <c r="AG21" s="175" t="s">
        <v>181</v>
      </c>
    </row>
    <row r="22" spans="1:34">
      <c r="A22" s="159">
        <v>14</v>
      </c>
      <c r="B22" s="187" t="s">
        <v>114</v>
      </c>
      <c r="C22" s="239"/>
      <c r="D22" s="180">
        <f>D8*SUMPRODUCT(Carga!$C$8:$C$13,'Analisis Otros'!H6:H11)/Carga!$C$15/100</f>
        <v>9.2812500000000006E-2</v>
      </c>
      <c r="E22" s="180"/>
      <c r="F22" s="240"/>
      <c r="G22" s="235">
        <f t="shared" si="0"/>
        <v>9.2812500000000006E-2</v>
      </c>
      <c r="H22" s="7"/>
      <c r="I22" t="s">
        <v>297</v>
      </c>
      <c r="L22" s="331">
        <f>+L19^2*3.1416/4*L18/1000*L20</f>
        <v>13.095236523600001</v>
      </c>
      <c r="M22" t="s">
        <v>229</v>
      </c>
      <c r="N22">
        <f ca="1">'Bal Mat Red'!L192</f>
        <v>3202.9834784970076</v>
      </c>
      <c r="AG22" s="175" t="s">
        <v>182</v>
      </c>
    </row>
    <row r="23" spans="1:34">
      <c r="A23" s="159">
        <v>15</v>
      </c>
      <c r="B23" s="187" t="s">
        <v>115</v>
      </c>
      <c r="C23" s="239"/>
      <c r="D23" s="180">
        <f>D8*SUMPRODUCT(Carga!$C$8:$C$13,'Analisis Otros'!I6:I11)/Carga!$C$15/100</f>
        <v>2.4850719602977668E-3</v>
      </c>
      <c r="E23" s="180"/>
      <c r="F23" s="240"/>
      <c r="G23" s="235">
        <f t="shared" si="0"/>
        <v>2.4850719602977668E-3</v>
      </c>
      <c r="H23" s="7"/>
      <c r="AG23" s="175" t="s">
        <v>183</v>
      </c>
    </row>
    <row r="24" spans="1:34">
      <c r="A24" s="159">
        <v>16</v>
      </c>
      <c r="B24" s="187" t="s">
        <v>6</v>
      </c>
      <c r="C24" s="239">
        <f>C8*'Analisis Conc.'!K79/100</f>
        <v>2.7919877392845564E-2</v>
      </c>
      <c r="D24" s="180"/>
      <c r="E24" s="180">
        <f>$E$8*SUMPRODUCT(Carga!$AF$19:$AF$31,'Analisis Otros'!AD18:AD30)/Carga!$E$43/100</f>
        <v>2.7516962115789974E-2</v>
      </c>
      <c r="F24" s="240"/>
      <c r="G24" s="235">
        <f t="shared" si="0"/>
        <v>5.5436839508635538E-2</v>
      </c>
      <c r="H24" s="7"/>
      <c r="J24" s="7" t="s">
        <v>212</v>
      </c>
      <c r="K24" s="7" t="s">
        <v>229</v>
      </c>
      <c r="AG24" s="175" t="s">
        <v>184</v>
      </c>
    </row>
    <row r="25" spans="1:34">
      <c r="A25" s="159">
        <v>17</v>
      </c>
      <c r="B25" s="187" t="s">
        <v>8</v>
      </c>
      <c r="C25" s="239">
        <f>C8*'Analisis Conc.'!L79/100</f>
        <v>3.0311135948694275E-2</v>
      </c>
      <c r="D25" s="180"/>
      <c r="E25" s="180">
        <f>$E$8*SUMPRODUCT(Carga!$AF$19:$AF$31,'Analisis Otros'!AE18:AE30)/Carga!$E$43/100</f>
        <v>1.0554080285935637E-2</v>
      </c>
      <c r="F25" s="240"/>
      <c r="G25" s="235">
        <f t="shared" si="0"/>
        <v>4.0865216234629909E-2</v>
      </c>
      <c r="H25" s="7"/>
      <c r="I25" s="183" t="s">
        <v>7</v>
      </c>
      <c r="J25" s="658">
        <f>+Factores!G9</f>
        <v>1</v>
      </c>
      <c r="K25" s="324">
        <f>+J25*$L$22/100</f>
        <v>0.13095236523600001</v>
      </c>
      <c r="AG25" s="175" t="s">
        <v>185</v>
      </c>
    </row>
    <row r="26" spans="1:34">
      <c r="A26" s="159">
        <v>18</v>
      </c>
      <c r="B26" s="187" t="s">
        <v>9</v>
      </c>
      <c r="C26" s="239">
        <f>C8*'Analisis Conc.'!M79/100</f>
        <v>1.1884198075989599E-2</v>
      </c>
      <c r="D26" s="180"/>
      <c r="E26" s="180">
        <f>$E$8*SUMPRODUCT(Carga!$AF$19:$AF$31,'Analisis Otros'!AF18:AF30)/Carga!$E$43/100</f>
        <v>0.27725141378033963</v>
      </c>
      <c r="F26" s="240"/>
      <c r="G26" s="235">
        <f t="shared" si="0"/>
        <v>0.28913561185632924</v>
      </c>
      <c r="H26" s="7"/>
      <c r="I26" s="100" t="s">
        <v>10</v>
      </c>
      <c r="J26" s="659">
        <f>+Factores!H9</f>
        <v>13.211699164345402</v>
      </c>
      <c r="K26" s="325">
        <f t="shared" ref="K26:K31" si="1">+J26*$L$22/100</f>
        <v>1.7301032543575152</v>
      </c>
      <c r="M26" s="203" t="s">
        <v>548</v>
      </c>
      <c r="P26">
        <v>1000</v>
      </c>
      <c r="Q26">
        <v>1</v>
      </c>
      <c r="AG26" s="175"/>
    </row>
    <row r="27" spans="1:34">
      <c r="A27" s="159">
        <v>19</v>
      </c>
      <c r="B27" s="187" t="s">
        <v>75</v>
      </c>
      <c r="C27" s="239">
        <f>C8*'Analisis Conc.'!N79/100</f>
        <v>0.11267818392177256</v>
      </c>
      <c r="D27" s="180"/>
      <c r="E27" s="180">
        <f>$E$8*SUMPRODUCT(Carga!$AF$19:$AF$31,'Analisis Otros'!AG18:AG30)/Carga!$E$43/100</f>
        <v>0.16261852948231925</v>
      </c>
      <c r="F27" s="240"/>
      <c r="G27" s="235">
        <f t="shared" si="0"/>
        <v>0.27529671340409179</v>
      </c>
      <c r="H27" s="7"/>
      <c r="I27" s="100" t="s">
        <v>93</v>
      </c>
      <c r="J27" s="659">
        <f>+Factores!I9</f>
        <v>40</v>
      </c>
      <c r="K27" s="325">
        <f t="shared" si="1"/>
        <v>5.23809460944</v>
      </c>
      <c r="M27" s="157">
        <f>+G9*118.7/(118.7+32)+G10*118.7/(118.7+16)+G11*118.7/(118.7+32)+G12+G13*(118.7*2)/(118.7*2+55.85)</f>
        <v>53.548186763997414</v>
      </c>
      <c r="P27">
        <v>84</v>
      </c>
      <c r="Q27">
        <f>+P27*Q26/P26</f>
        <v>8.4000000000000005E-2</v>
      </c>
      <c r="AG27" s="175" t="s">
        <v>189</v>
      </c>
      <c r="AH27">
        <v>1200</v>
      </c>
    </row>
    <row r="28" spans="1:34">
      <c r="A28" s="159">
        <v>20</v>
      </c>
      <c r="B28" s="187" t="s">
        <v>135</v>
      </c>
      <c r="C28" s="239"/>
      <c r="D28" s="180"/>
      <c r="E28" s="180">
        <f>$E$8*SUMPRODUCT(Carga!$AF$19:$AF$31,'Analisis Otros'!AC18:AC30)/Carga!$E$43/100</f>
        <v>0</v>
      </c>
      <c r="F28" s="240"/>
      <c r="G28" s="235">
        <f t="shared" si="0"/>
        <v>0</v>
      </c>
      <c r="H28" s="7"/>
      <c r="I28" s="100" t="s">
        <v>105</v>
      </c>
      <c r="J28" s="659">
        <f>+Factores!J9</f>
        <v>13</v>
      </c>
      <c r="K28" s="325">
        <f t="shared" si="1"/>
        <v>1.702380748068</v>
      </c>
      <c r="AG28" s="175" t="s">
        <v>186</v>
      </c>
    </row>
    <row r="29" spans="1:34">
      <c r="A29" s="159">
        <v>21</v>
      </c>
      <c r="B29" s="250" t="s">
        <v>538</v>
      </c>
      <c r="C29" s="239"/>
      <c r="D29" s="180"/>
      <c r="E29" s="180">
        <f>$E$8*SUMPRODUCT(Carga!$AF$19:$AF$31,'Analisis Otros'!AH18:AH30)/Carga!$E$43/100</f>
        <v>0</v>
      </c>
      <c r="F29" s="240"/>
      <c r="G29" s="235">
        <f t="shared" si="0"/>
        <v>0</v>
      </c>
      <c r="H29" s="7"/>
      <c r="I29" s="100" t="s">
        <v>129</v>
      </c>
      <c r="J29" s="659">
        <f>+Factores!K9</f>
        <v>20</v>
      </c>
      <c r="K29" s="325">
        <f t="shared" si="1"/>
        <v>2.61904730472</v>
      </c>
      <c r="AG29" s="175" t="s">
        <v>187</v>
      </c>
    </row>
    <row r="30" spans="1:34">
      <c r="A30" s="159">
        <v>22</v>
      </c>
      <c r="B30" s="250" t="s">
        <v>146</v>
      </c>
      <c r="C30" s="239"/>
      <c r="D30" s="180"/>
      <c r="E30" s="180">
        <f>$E$8*SUMPRODUCT(Carga!$AF$19:$AF$31,'Analisis Otros'!AI18:AI30)/Carga!$E$43/100</f>
        <v>0</v>
      </c>
      <c r="F30" s="240"/>
      <c r="G30" s="235">
        <f t="shared" si="0"/>
        <v>0</v>
      </c>
      <c r="I30" s="100" t="s">
        <v>131</v>
      </c>
      <c r="J30" s="659">
        <f>+Factores!L9</f>
        <v>3.5</v>
      </c>
      <c r="K30" s="325">
        <f t="shared" si="1"/>
        <v>0.45833327832600007</v>
      </c>
      <c r="AG30" s="175" t="s">
        <v>188</v>
      </c>
    </row>
    <row r="31" spans="1:34">
      <c r="A31" s="234">
        <v>23</v>
      </c>
      <c r="B31" s="261" t="s">
        <v>156</v>
      </c>
      <c r="C31" s="135"/>
      <c r="D31" s="3"/>
      <c r="E31" s="3"/>
      <c r="F31" s="181">
        <f>+F8*Carga!H46/100</f>
        <v>8.3368522928710362</v>
      </c>
      <c r="G31" s="235">
        <f t="shared" si="0"/>
        <v>8.3368522928710362</v>
      </c>
      <c r="I31" s="260" t="s">
        <v>103</v>
      </c>
      <c r="J31" s="660">
        <f>100-SUM(J25:J30)</f>
        <v>9.2883008356545957</v>
      </c>
      <c r="K31" s="270">
        <f t="shared" si="1"/>
        <v>1.2163249634524846</v>
      </c>
      <c r="AG31" s="175"/>
    </row>
    <row r="32" spans="1:34">
      <c r="A32" s="234">
        <v>24</v>
      </c>
      <c r="B32" s="261" t="s">
        <v>216</v>
      </c>
      <c r="C32" s="135"/>
      <c r="D32" s="3"/>
      <c r="E32" s="3"/>
      <c r="F32" s="181">
        <f>+F8*Carga!I46/100</f>
        <v>0.48909533451510079</v>
      </c>
      <c r="G32" s="235">
        <f t="shared" si="0"/>
        <v>0.48909533451510079</v>
      </c>
      <c r="J32" s="210">
        <f>SUM(J25:J31)</f>
        <v>100</v>
      </c>
      <c r="K32" s="210">
        <f>SUM(K25:K31)</f>
        <v>13.095236523600001</v>
      </c>
      <c r="L32" s="247"/>
      <c r="M32" t="s">
        <v>10</v>
      </c>
      <c r="N32" s="267">
        <f>+G13*55.8/(55.8+118.7*2)+G14*2*55.8/(2*55.8+16*3)+G15*55.8/(55.8+32*2)+G16*55.8/(55.8+16)+G17</f>
        <v>7.3874620433232536</v>
      </c>
      <c r="AG32" s="175" t="s">
        <v>190</v>
      </c>
    </row>
    <row r="33" spans="1:33">
      <c r="A33" s="234">
        <v>25</v>
      </c>
      <c r="B33" s="261" t="s">
        <v>111</v>
      </c>
      <c r="C33" s="135"/>
      <c r="D33" s="3"/>
      <c r="E33" s="3"/>
      <c r="F33" s="181">
        <f>+F8*Carga!J46/100</f>
        <v>0.22231606114322763</v>
      </c>
      <c r="G33" s="235">
        <f t="shared" si="0"/>
        <v>0.22231606114322763</v>
      </c>
      <c r="M33" t="s">
        <v>93</v>
      </c>
      <c r="N33" s="267">
        <f>+G18</f>
        <v>15.815010448814906</v>
      </c>
      <c r="AG33" s="175" t="s">
        <v>191</v>
      </c>
    </row>
    <row r="34" spans="1:33">
      <c r="A34" s="234">
        <v>26</v>
      </c>
      <c r="B34" s="261" t="s">
        <v>158</v>
      </c>
      <c r="C34" s="135"/>
      <c r="D34" s="3"/>
      <c r="E34" s="3"/>
      <c r="F34" s="181">
        <f>+F8*Carga!K46/100</f>
        <v>0.22231606114322763</v>
      </c>
      <c r="G34" s="235">
        <f t="shared" si="0"/>
        <v>0.22231606114322763</v>
      </c>
      <c r="M34" t="s">
        <v>129</v>
      </c>
      <c r="N34" s="267">
        <f>+G20+G22*0.56</f>
        <v>12.296653832834322</v>
      </c>
    </row>
    <row r="35" spans="1:33">
      <c r="A35" s="234">
        <v>27</v>
      </c>
      <c r="B35" s="261" t="s">
        <v>5</v>
      </c>
      <c r="C35" s="135"/>
      <c r="D35" s="3"/>
      <c r="E35" s="3"/>
      <c r="F35" s="181">
        <f>+F8*Carga!L46/100</f>
        <v>0.11115803057161382</v>
      </c>
      <c r="G35" s="235">
        <f t="shared" si="0"/>
        <v>0.11115803057161382</v>
      </c>
      <c r="H35" s="7"/>
      <c r="I35" t="s">
        <v>298</v>
      </c>
      <c r="M35" t="s">
        <v>704</v>
      </c>
      <c r="N35" s="332">
        <f>+N32/N33</f>
        <v>0.46711711429041963</v>
      </c>
    </row>
    <row r="36" spans="1:33">
      <c r="A36" s="159">
        <v>28</v>
      </c>
      <c r="B36" s="187" t="s">
        <v>103</v>
      </c>
      <c r="C36" s="239">
        <f>C8*'Analisis Conc.'!P79/100</f>
        <v>15.762596739009131</v>
      </c>
      <c r="D36" s="180">
        <f>D8*SUMPRODUCT(Carga!$C$8:$C$13,'Analisis Otros'!M6:M11)/Carga!$C$15/100</f>
        <v>1.481885515082714E-3</v>
      </c>
      <c r="E36" s="180">
        <f>$E$8*SUMPRODUCT(Carga!$AF$19:$AF$31,'Analisis Otros'!AJ18:AJ30)/Carga!$E$43/100</f>
        <v>5.1849956061752378</v>
      </c>
      <c r="F36" s="240"/>
      <c r="G36" s="235">
        <f t="shared" si="0"/>
        <v>20.949074230699452</v>
      </c>
      <c r="H36" s="236"/>
      <c r="I36" s="297">
        <f>+Factores!D7</f>
        <v>100</v>
      </c>
      <c r="J36" t="s">
        <v>299</v>
      </c>
      <c r="M36" t="s">
        <v>705</v>
      </c>
      <c r="N36" s="332">
        <f>+N34/N33</f>
        <v>0.77753055381356184</v>
      </c>
    </row>
    <row r="37" spans="1:33">
      <c r="A37" s="230">
        <v>29</v>
      </c>
      <c r="B37" s="231" t="s">
        <v>150</v>
      </c>
      <c r="C37" s="238">
        <f>+C7*Carga!D4/100</f>
        <v>6.421641683333335</v>
      </c>
      <c r="D37" s="232">
        <f>+D7*Carga!D15/100</f>
        <v>1E-3</v>
      </c>
      <c r="E37" s="232">
        <f>+E7*Carga!F43/100</f>
        <v>1.2184782608695652</v>
      </c>
      <c r="F37" s="333">
        <f>+F7*Carga!O46/100</f>
        <v>0.58504226616638855</v>
      </c>
      <c r="G37" s="233">
        <f t="shared" si="0"/>
        <v>8.2261622103692886</v>
      </c>
    </row>
    <row r="40" spans="1:33" ht="15.6">
      <c r="A40" s="158" t="s">
        <v>255</v>
      </c>
    </row>
    <row r="41" spans="1:33">
      <c r="C41" s="246"/>
      <c r="D41" s="246"/>
      <c r="E41" s="246"/>
    </row>
    <row r="42" spans="1:33">
      <c r="A42" s="152"/>
      <c r="B42" s="183"/>
      <c r="C42" s="277" t="s">
        <v>225</v>
      </c>
      <c r="D42" s="275" t="s">
        <v>226</v>
      </c>
      <c r="E42" s="275" t="s">
        <v>227</v>
      </c>
      <c r="F42" s="276" t="s">
        <v>257</v>
      </c>
      <c r="G42" s="276" t="s">
        <v>12</v>
      </c>
      <c r="I42" s="214" t="s">
        <v>270</v>
      </c>
    </row>
    <row r="43" spans="1:33">
      <c r="A43" s="135"/>
      <c r="B43" s="100"/>
      <c r="C43" s="155" t="s">
        <v>151</v>
      </c>
      <c r="D43" s="186" t="s">
        <v>151</v>
      </c>
      <c r="E43" s="186" t="s">
        <v>151</v>
      </c>
      <c r="F43" s="176" t="s">
        <v>151</v>
      </c>
      <c r="G43" s="240" t="s">
        <v>151</v>
      </c>
    </row>
    <row r="44" spans="1:33">
      <c r="A44" s="136"/>
      <c r="B44" s="278" t="s">
        <v>89</v>
      </c>
      <c r="C44" s="698">
        <f>K5/1000*K11+M5/1000*M11</f>
        <v>7.4468402587962981</v>
      </c>
      <c r="D44" s="283">
        <f>+SUM(D45:D52)</f>
        <v>47.901672369457856</v>
      </c>
      <c r="E44" s="283">
        <f>+SUM(E45:E52)</f>
        <v>20.83233865624112</v>
      </c>
      <c r="F44" s="283">
        <f>+SUM(F45:F52)</f>
        <v>0</v>
      </c>
      <c r="G44" s="134"/>
      <c r="I44" t="s">
        <v>272</v>
      </c>
      <c r="K44" s="924"/>
      <c r="N44" s="924"/>
    </row>
    <row r="45" spans="1:33">
      <c r="A45" s="159">
        <v>23</v>
      </c>
      <c r="B45" s="279" t="s">
        <v>156</v>
      </c>
      <c r="C45" s="256">
        <f>+Carga!H50/100*C44</f>
        <v>5.5368642641018395</v>
      </c>
      <c r="D45" s="258"/>
      <c r="E45" s="258"/>
      <c r="F45" s="259"/>
      <c r="G45" s="281">
        <f>+SUM(C45:F45)</f>
        <v>5.5368642641018395</v>
      </c>
      <c r="I45" s="237" t="s">
        <v>226</v>
      </c>
      <c r="J45" s="269" t="s">
        <v>227</v>
      </c>
      <c r="K45" s="278" t="s">
        <v>271</v>
      </c>
      <c r="M45" t="s">
        <v>274</v>
      </c>
      <c r="N45" s="332">
        <f>+(L15*K5/1000*K11*1000*I47*(K8-100)/100)*32/22.4/1000+G33</f>
        <v>3.0505127443600495</v>
      </c>
      <c r="O45" t="s">
        <v>229</v>
      </c>
    </row>
    <row r="46" spans="1:33">
      <c r="A46" s="159">
        <v>30</v>
      </c>
      <c r="B46" s="279" t="s">
        <v>157</v>
      </c>
      <c r="C46" s="257">
        <f>+Carga!I50/100*C44</f>
        <v>1.7562024352705721</v>
      </c>
      <c r="D46" s="252"/>
      <c r="E46" s="252"/>
      <c r="F46" s="253"/>
      <c r="G46" s="282">
        <f t="shared" ref="G46:G52" si="2">+SUM(C46:F46)</f>
        <v>1.7562024352705721</v>
      </c>
      <c r="I46" s="257">
        <v>1</v>
      </c>
      <c r="J46" s="224">
        <v>1</v>
      </c>
      <c r="K46" s="288">
        <f>+(L15*K5/1000*K11*1000*K8/100*I47)/K6*100-K7*K11</f>
        <v>51049.121413057452</v>
      </c>
    </row>
    <row r="47" spans="1:33">
      <c r="A47" s="159">
        <v>31</v>
      </c>
      <c r="B47" s="279" t="s">
        <v>111</v>
      </c>
      <c r="C47" s="257">
        <f>+Carga!J50/100*C44</f>
        <v>4.4709493048354011E-2</v>
      </c>
      <c r="D47" s="252">
        <f>(0.21*(100-K9)/100*(J51+P10))*32/22.4/1000</f>
        <v>11.161554726863965</v>
      </c>
      <c r="E47" s="252">
        <f>+K10/100*(J52+P11)*32/22.4/1000</f>
        <v>20.46685903069303</v>
      </c>
      <c r="F47" s="253">
        <f>0.21*(100-K9)/100*K7*K11*32/22.4/1000</f>
        <v>0</v>
      </c>
      <c r="G47" s="282">
        <f t="shared" si="2"/>
        <v>31.67312325060535</v>
      </c>
      <c r="I47" s="271">
        <f>0.21*(100-K9)/100</f>
        <v>0.21</v>
      </c>
      <c r="J47" s="249">
        <f>+K10/100</f>
        <v>0.98</v>
      </c>
      <c r="K47" s="289">
        <f>+L15*K5/1000*K11*1000*K8/100*I47-K7*K11*I47</f>
        <v>21977.087963623231</v>
      </c>
      <c r="M47" t="s">
        <v>275</v>
      </c>
      <c r="N47" s="332">
        <f>+F31-(D58+D76+D85+D88)</f>
        <v>-0.60770446754322371</v>
      </c>
      <c r="O47" t="s">
        <v>229</v>
      </c>
    </row>
    <row r="48" spans="1:33">
      <c r="A48" s="159">
        <v>26</v>
      </c>
      <c r="B48" s="279" t="s">
        <v>158</v>
      </c>
      <c r="C48" s="257">
        <f>+Carga!K50/100*C44</f>
        <v>0.10906406637553023</v>
      </c>
      <c r="D48" s="252">
        <f>(0.21*(100-K9)/100*79/21*(J51+P10))*28/22.4/1000</f>
        <v>36.740117642593887</v>
      </c>
      <c r="E48" s="252">
        <f>(1-K10/100)*(J52+P11)*28/22.4/1000</f>
        <v>0.36547962554809021</v>
      </c>
      <c r="F48" s="253">
        <f>0.21*(100-K9)/100*79/21*K7*K11*28/22.4/1000</f>
        <v>0</v>
      </c>
      <c r="G48" s="282">
        <f t="shared" si="2"/>
        <v>37.214661334517508</v>
      </c>
      <c r="N48" s="332">
        <f>+N47-(D114)</f>
        <v>-0.60770446754322371</v>
      </c>
    </row>
    <row r="49" spans="1:11">
      <c r="A49" s="159">
        <v>27</v>
      </c>
      <c r="B49" s="279" t="s">
        <v>5</v>
      </c>
      <c r="C49" s="257">
        <f>+Carga!L50/100*C44</f>
        <v>0</v>
      </c>
      <c r="D49" s="252"/>
      <c r="E49" s="252"/>
      <c r="F49" s="253"/>
      <c r="G49" s="282">
        <f t="shared" si="2"/>
        <v>0</v>
      </c>
      <c r="I49" t="s">
        <v>273</v>
      </c>
    </row>
    <row r="50" spans="1:11">
      <c r="A50" s="159">
        <v>10</v>
      </c>
      <c r="B50" s="279" t="s">
        <v>93</v>
      </c>
      <c r="C50" s="257">
        <f>+Carga!M50*2/3/100*C44</f>
        <v>0</v>
      </c>
      <c r="D50" s="252"/>
      <c r="E50" s="252"/>
      <c r="F50" s="253"/>
      <c r="G50" s="282">
        <f t="shared" si="2"/>
        <v>0</v>
      </c>
      <c r="I50" s="134"/>
      <c r="J50" s="269" t="s">
        <v>271</v>
      </c>
      <c r="K50" s="241" t="s">
        <v>268</v>
      </c>
    </row>
    <row r="51" spans="1:11">
      <c r="A51" s="159">
        <v>11</v>
      </c>
      <c r="B51" s="279" t="s">
        <v>105</v>
      </c>
      <c r="C51" s="257">
        <f>+Carga!M50*1/3/100*C44</f>
        <v>0</v>
      </c>
      <c r="D51" s="252"/>
      <c r="E51" s="252"/>
      <c r="F51" s="253"/>
      <c r="G51" s="282">
        <f t="shared" si="2"/>
        <v>0</v>
      </c>
      <c r="I51" s="183" t="s">
        <v>226</v>
      </c>
      <c r="J51" s="290">
        <f t="array" ref="J51:J52">+MMULT(MINVERSE(I46:J47),K46:K47)</f>
        <v>36429.936391133859</v>
      </c>
      <c r="K51" s="292">
        <f>+J51/K11</f>
        <v>7150.4572286461062</v>
      </c>
    </row>
    <row r="52" spans="1:11">
      <c r="A52" s="278">
        <v>29</v>
      </c>
      <c r="B52" s="280" t="s">
        <v>150</v>
      </c>
      <c r="C52" s="237"/>
      <c r="D52" s="254">
        <f>+K9/100*(J51+P10)*18/22.4/1000</f>
        <v>0</v>
      </c>
      <c r="E52" s="254"/>
      <c r="F52" s="255">
        <f>+K9/100*K7*K11*18/22.4/1000</f>
        <v>0</v>
      </c>
      <c r="G52" s="157">
        <f t="shared" si="2"/>
        <v>0</v>
      </c>
      <c r="I52" s="260" t="s">
        <v>227</v>
      </c>
      <c r="J52" s="291">
        <v>14619.185021923593</v>
      </c>
      <c r="K52" s="293">
        <f>+J52/K11</f>
        <v>2869.4493477723827</v>
      </c>
    </row>
    <row r="55" spans="1:11" ht="15.6">
      <c r="A55" s="158" t="s">
        <v>252</v>
      </c>
    </row>
    <row r="57" spans="1:11">
      <c r="A57" s="7">
        <v>1</v>
      </c>
      <c r="B57" s="7" t="s">
        <v>104</v>
      </c>
      <c r="C57" s="208" t="s">
        <v>193</v>
      </c>
      <c r="D57" s="7" t="s">
        <v>156</v>
      </c>
      <c r="E57" s="263" t="s">
        <v>194</v>
      </c>
      <c r="F57" s="7" t="s">
        <v>136</v>
      </c>
      <c r="G57" s="208" t="s">
        <v>193</v>
      </c>
      <c r="H57" s="7" t="s">
        <v>195</v>
      </c>
    </row>
    <row r="58" spans="1:11">
      <c r="A58" s="7"/>
      <c r="B58" s="209">
        <f>+G9</f>
        <v>64.775450335585177</v>
      </c>
      <c r="C58" s="200"/>
      <c r="D58" s="200">
        <f>+B58*12/(118.7+16*2)</f>
        <v>5.157965521081767</v>
      </c>
      <c r="E58" s="200"/>
      <c r="F58" s="200">
        <f>+B58*(118.7+16)/(118.7+2*16)</f>
        <v>57.898162974142828</v>
      </c>
      <c r="G58" s="200"/>
      <c r="H58" s="200">
        <f>+B58*(12+16)/(118.7+2*16)</f>
        <v>12.035252882524121</v>
      </c>
    </row>
    <row r="59" spans="1:11">
      <c r="A59" s="7"/>
      <c r="B59" s="209"/>
      <c r="C59" s="200"/>
      <c r="D59" s="200"/>
      <c r="E59" s="225"/>
      <c r="F59" s="200"/>
      <c r="G59" s="200"/>
      <c r="H59" s="200"/>
    </row>
    <row r="60" spans="1:11">
      <c r="A60" s="7">
        <v>2</v>
      </c>
      <c r="B60" s="7" t="s">
        <v>106</v>
      </c>
      <c r="C60" s="208" t="s">
        <v>193</v>
      </c>
      <c r="D60" s="7" t="s">
        <v>136</v>
      </c>
      <c r="E60" s="246" t="s">
        <v>194</v>
      </c>
      <c r="F60" s="7" t="s">
        <v>133</v>
      </c>
      <c r="G60" s="208" t="s">
        <v>193</v>
      </c>
      <c r="H60" s="7" t="s">
        <v>134</v>
      </c>
      <c r="I60" s="208" t="s">
        <v>193</v>
      </c>
      <c r="J60" s="7" t="s">
        <v>201</v>
      </c>
    </row>
    <row r="61" spans="1:11">
      <c r="A61" s="7"/>
      <c r="B61" s="209">
        <f>+G15</f>
        <v>0.53962660686696617</v>
      </c>
      <c r="C61" s="7"/>
      <c r="D61" s="200">
        <f>+B61*(118.7+16)/(55.85+32*2)</f>
        <v>0.606488977429957</v>
      </c>
      <c r="E61" s="200"/>
      <c r="F61" s="200">
        <f>+B61*(118.7+32)/(55.85+32*2)</f>
        <v>0.67852924200961029</v>
      </c>
      <c r="G61" s="200"/>
      <c r="H61" s="200">
        <f>+B61*(55.85+16)/(55.85+32*2)</f>
        <v>0.32350581312800597</v>
      </c>
      <c r="I61" s="200"/>
      <c r="J61" s="200">
        <f>+B61*(32)/(55.85+32*2)</f>
        <v>0.14408052915930677</v>
      </c>
    </row>
    <row r="62" spans="1:11">
      <c r="A62" s="7"/>
    </row>
    <row r="63" spans="1:11">
      <c r="A63" s="7">
        <v>3</v>
      </c>
      <c r="B63" s="7" t="s">
        <v>208</v>
      </c>
      <c r="E63" s="246" t="s">
        <v>194</v>
      </c>
      <c r="F63" s="7" t="s">
        <v>203</v>
      </c>
      <c r="G63" s="208" t="s">
        <v>193</v>
      </c>
      <c r="H63" s="7" t="s">
        <v>10</v>
      </c>
    </row>
    <row r="64" spans="1:11">
      <c r="A64" s="7"/>
      <c r="B64" s="209">
        <f>+G13</f>
        <v>2.1602005721914042</v>
      </c>
      <c r="E64" s="7"/>
      <c r="F64" s="200">
        <f>2*B64*118.7/(118.7*2+55.85)</f>
        <v>1.7487864137706373</v>
      </c>
      <c r="G64" s="200"/>
      <c r="H64" s="200">
        <f>+B64*55.85/(118.7*2+55.85)</f>
        <v>0.41141415842076701</v>
      </c>
    </row>
    <row r="65" spans="1:8">
      <c r="A65" s="7"/>
      <c r="B65" s="209"/>
      <c r="E65" s="7"/>
      <c r="F65" s="200"/>
      <c r="G65" s="200"/>
      <c r="H65" s="200"/>
    </row>
    <row r="66" spans="1:8">
      <c r="A66" s="7">
        <v>4</v>
      </c>
      <c r="B66" s="7" t="s">
        <v>243</v>
      </c>
      <c r="C66" s="208" t="s">
        <v>193</v>
      </c>
      <c r="D66" s="7" t="s">
        <v>10</v>
      </c>
      <c r="E66" s="246" t="s">
        <v>194</v>
      </c>
      <c r="F66" s="7" t="s">
        <v>134</v>
      </c>
      <c r="H66" s="200"/>
    </row>
    <row r="67" spans="1:8">
      <c r="A67" s="7"/>
      <c r="B67" s="388">
        <f>+IF(H64*16/ 55.8&lt;N45,H64*16/ 55.8,N45)</f>
        <v>0.1179682174683203</v>
      </c>
      <c r="D67" s="265">
        <f>+B67*55.8/16</f>
        <v>0.41141415842076701</v>
      </c>
      <c r="E67" s="7"/>
      <c r="F67" s="200">
        <f>+B67*71.85/16</f>
        <v>0.52975102656867579</v>
      </c>
      <c r="H67" s="200"/>
    </row>
    <row r="68" spans="1:8">
      <c r="A68" s="7"/>
      <c r="B68" s="209"/>
      <c r="E68" s="7"/>
      <c r="F68" s="200"/>
      <c r="G68" s="200"/>
      <c r="H68" s="200"/>
    </row>
    <row r="69" spans="1:8">
      <c r="A69" s="7">
        <v>5</v>
      </c>
      <c r="B69" s="7" t="s">
        <v>243</v>
      </c>
      <c r="C69" s="208" t="s">
        <v>193</v>
      </c>
      <c r="D69" s="7" t="s">
        <v>7</v>
      </c>
      <c r="E69" s="246" t="s">
        <v>194</v>
      </c>
      <c r="F69" s="7" t="s">
        <v>136</v>
      </c>
      <c r="G69" s="200"/>
      <c r="H69" s="200"/>
    </row>
    <row r="70" spans="1:8">
      <c r="A70" s="7"/>
      <c r="B70" s="898">
        <v>0</v>
      </c>
      <c r="D70" s="200">
        <f>+B70*118.7/16</f>
        <v>0</v>
      </c>
      <c r="E70" s="7"/>
      <c r="F70" s="200">
        <f>+B70*(118.7+16)/16</f>
        <v>0</v>
      </c>
      <c r="G70" s="200"/>
      <c r="H70" s="200"/>
    </row>
    <row r="71" spans="1:8">
      <c r="A71" s="7"/>
      <c r="B71" s="209"/>
      <c r="E71" s="7"/>
      <c r="F71" s="200"/>
      <c r="G71" s="200"/>
      <c r="H71" s="200"/>
    </row>
    <row r="72" spans="1:8">
      <c r="A72" s="7">
        <v>6</v>
      </c>
      <c r="B72" s="7" t="s">
        <v>10</v>
      </c>
      <c r="C72" s="7" t="s">
        <v>193</v>
      </c>
      <c r="D72" s="7" t="s">
        <v>136</v>
      </c>
      <c r="E72" s="246" t="s">
        <v>194</v>
      </c>
      <c r="F72" s="7" t="s">
        <v>134</v>
      </c>
      <c r="G72" s="7" t="s">
        <v>193</v>
      </c>
      <c r="H72" s="7" t="s">
        <v>7</v>
      </c>
    </row>
    <row r="73" spans="1:8">
      <c r="A73" s="7"/>
      <c r="B73" s="209">
        <f>+H64+G17-D67</f>
        <v>0</v>
      </c>
      <c r="C73" s="200"/>
      <c r="D73" s="200">
        <f>+B73*(118.7+16)/55.85</f>
        <v>0</v>
      </c>
      <c r="E73" s="200"/>
      <c r="F73" s="200">
        <f>+B73*(55.85+16)/55.85</f>
        <v>0</v>
      </c>
      <c r="G73" s="200"/>
      <c r="H73" s="200">
        <f>+B73*118.7/55.85</f>
        <v>0</v>
      </c>
    </row>
    <row r="74" spans="1:8">
      <c r="A74" s="7"/>
    </row>
    <row r="75" spans="1:8">
      <c r="A75" s="7">
        <v>7</v>
      </c>
      <c r="B75" s="7" t="s">
        <v>136</v>
      </c>
      <c r="C75" s="208" t="s">
        <v>193</v>
      </c>
      <c r="D75" s="7" t="s">
        <v>156</v>
      </c>
      <c r="E75" s="263" t="s">
        <v>194</v>
      </c>
      <c r="F75" s="7" t="s">
        <v>7</v>
      </c>
      <c r="G75" s="208" t="s">
        <v>193</v>
      </c>
      <c r="H75" s="7" t="s">
        <v>195</v>
      </c>
    </row>
    <row r="76" spans="1:8">
      <c r="A76" s="7"/>
      <c r="B76" s="209">
        <f>+(F58+G10+F70-D61-D73)*D140/100</f>
        <v>32.535787987827376</v>
      </c>
      <c r="C76" s="7"/>
      <c r="D76" s="200">
        <f>+B76*12/(118.7+16)</f>
        <v>2.8985111793164702</v>
      </c>
      <c r="E76" s="200"/>
      <c r="F76" s="200">
        <f>+B76*118.7/(118.7+16)</f>
        <v>28.671106415405418</v>
      </c>
      <c r="G76" s="200"/>
      <c r="H76" s="200">
        <f>+B76*(12+16)/(118.7+16)</f>
        <v>6.7631927517384307</v>
      </c>
    </row>
    <row r="77" spans="1:8">
      <c r="A77" s="7"/>
    </row>
    <row r="78" spans="1:8">
      <c r="A78" s="7">
        <v>8</v>
      </c>
      <c r="B78" s="7" t="s">
        <v>136</v>
      </c>
      <c r="E78" s="246" t="s">
        <v>194</v>
      </c>
      <c r="F78" s="7" t="s">
        <v>199</v>
      </c>
    </row>
    <row r="79" spans="1:8">
      <c r="A79" s="7"/>
      <c r="B79" s="209">
        <f>+(F58+G10+F70-D61-D73)*D141/100</f>
        <v>2.8645836998356433</v>
      </c>
      <c r="E79" s="7"/>
      <c r="F79" s="200">
        <f>+B79</f>
        <v>2.8645836998356433</v>
      </c>
    </row>
    <row r="80" spans="1:8">
      <c r="A80" s="7"/>
      <c r="B80" s="7"/>
      <c r="C80" s="7"/>
      <c r="D80" s="7"/>
    </row>
    <row r="81" spans="1:8">
      <c r="A81" s="7">
        <v>9</v>
      </c>
      <c r="B81" s="7" t="s">
        <v>136</v>
      </c>
      <c r="E81" s="246" t="s">
        <v>194</v>
      </c>
      <c r="F81" s="7" t="s">
        <v>200</v>
      </c>
    </row>
    <row r="82" spans="1:8">
      <c r="A82" s="7"/>
      <c r="B82" s="209">
        <f>+(F58+G10+F70-D61-D73)*D142/100</f>
        <v>21.891302309049852</v>
      </c>
      <c r="E82" s="7"/>
      <c r="F82" s="200">
        <f>+B82</f>
        <v>21.891302309049852</v>
      </c>
    </row>
    <row r="83" spans="1:8">
      <c r="A83" s="7"/>
    </row>
    <row r="84" spans="1:8">
      <c r="A84" s="7">
        <v>10</v>
      </c>
      <c r="B84" s="7" t="s">
        <v>132</v>
      </c>
      <c r="C84" s="208" t="s">
        <v>193</v>
      </c>
      <c r="D84" s="7" t="s">
        <v>156</v>
      </c>
      <c r="E84" s="263" t="s">
        <v>194</v>
      </c>
      <c r="F84" s="7" t="s">
        <v>202</v>
      </c>
      <c r="G84" s="208" t="s">
        <v>193</v>
      </c>
      <c r="H84" s="7" t="s">
        <v>195</v>
      </c>
    </row>
    <row r="85" spans="1:8">
      <c r="A85" s="7"/>
      <c r="B85" s="209">
        <f>+G14</f>
        <v>9.6174743024906597</v>
      </c>
      <c r="C85" s="7"/>
      <c r="D85" s="200">
        <f>+B85*12/(55.85*2+3*16)</f>
        <v>0.72266557063173398</v>
      </c>
      <c r="E85" s="200"/>
      <c r="F85" s="200">
        <f>2*B85*(55.85+16)/(55.85*2+16*3)</f>
        <v>8.6539202083150144</v>
      </c>
      <c r="G85" s="200"/>
      <c r="H85" s="200">
        <f>+B85*(12+16)/(55.85*2+16*3)</f>
        <v>1.6862196648073793</v>
      </c>
    </row>
    <row r="86" spans="1:8">
      <c r="A86" s="7"/>
    </row>
    <row r="87" spans="1:8">
      <c r="A87" s="7">
        <v>11</v>
      </c>
      <c r="B87" s="7" t="s">
        <v>134</v>
      </c>
      <c r="C87" s="208" t="s">
        <v>193</v>
      </c>
      <c r="D87" s="7" t="s">
        <v>156</v>
      </c>
      <c r="E87" s="263" t="s">
        <v>194</v>
      </c>
      <c r="F87" s="7" t="s">
        <v>10</v>
      </c>
      <c r="G87" s="208" t="s">
        <v>193</v>
      </c>
      <c r="H87" s="7" t="s">
        <v>195</v>
      </c>
    </row>
    <row r="88" spans="1:8">
      <c r="A88" s="7"/>
      <c r="B88" s="209">
        <f>+(G16+H61+F85+F73+F67)*H148/100</f>
        <v>0.99041925518842089</v>
      </c>
      <c r="C88" s="7"/>
      <c r="D88" s="200">
        <f>+B88*12/(55.85+16)</f>
        <v>0.16541448938428743</v>
      </c>
      <c r="E88" s="200"/>
      <c r="F88" s="200">
        <f>+B88*55.85/(55.85+16)</f>
        <v>0.76986660267603779</v>
      </c>
      <c r="G88" s="200"/>
      <c r="H88" s="200">
        <f>+B88*(12+16)/(55.85+16)</f>
        <v>0.3859671418966707</v>
      </c>
    </row>
    <row r="89" spans="1:8">
      <c r="A89" s="7"/>
    </row>
    <row r="90" spans="1:8">
      <c r="A90" s="7">
        <v>12</v>
      </c>
      <c r="B90" s="7" t="s">
        <v>206</v>
      </c>
      <c r="E90" s="246" t="s">
        <v>194</v>
      </c>
      <c r="F90" s="7" t="s">
        <v>207</v>
      </c>
    </row>
    <row r="91" spans="1:8">
      <c r="A91" s="7"/>
      <c r="B91" s="209">
        <f>+(G16+H61+F85+F73+F67)*(1-H148/100)</f>
        <v>8.5167577928232756</v>
      </c>
      <c r="E91" s="7"/>
      <c r="F91" s="200">
        <f>+B91</f>
        <v>8.5167577928232756</v>
      </c>
    </row>
    <row r="92" spans="1:8">
      <c r="A92" s="7"/>
    </row>
    <row r="93" spans="1:8">
      <c r="A93" s="7">
        <v>13</v>
      </c>
      <c r="B93" s="7" t="s">
        <v>114</v>
      </c>
      <c r="E93" s="246" t="s">
        <v>194</v>
      </c>
      <c r="F93" s="7" t="s">
        <v>129</v>
      </c>
      <c r="G93" s="208" t="s">
        <v>193</v>
      </c>
      <c r="H93" s="7" t="s">
        <v>217</v>
      </c>
    </row>
    <row r="94" spans="1:8">
      <c r="A94" s="7"/>
      <c r="B94" s="209">
        <f>+G22</f>
        <v>9.2812500000000006E-2</v>
      </c>
      <c r="F94" s="200">
        <f>+B94*0.56</f>
        <v>5.1975000000000007E-2</v>
      </c>
      <c r="H94" s="200">
        <f>+B94*0.44</f>
        <v>4.0837500000000006E-2</v>
      </c>
    </row>
    <row r="95" spans="1:8">
      <c r="A95" s="7"/>
    </row>
    <row r="96" spans="1:8">
      <c r="A96" s="7">
        <v>14</v>
      </c>
      <c r="B96" s="7" t="s">
        <v>115</v>
      </c>
      <c r="E96" s="246" t="s">
        <v>194</v>
      </c>
      <c r="F96" s="7" t="s">
        <v>131</v>
      </c>
      <c r="G96" s="208" t="s">
        <v>193</v>
      </c>
      <c r="H96" s="7" t="s">
        <v>217</v>
      </c>
    </row>
    <row r="97" spans="1:12">
      <c r="A97" s="7"/>
      <c r="B97" s="209">
        <f>+G23</f>
        <v>2.4850719602977668E-3</v>
      </c>
      <c r="F97" s="200">
        <f>+B97*(24.3+16)/(24.3+12+16*3)</f>
        <v>1.188E-3</v>
      </c>
      <c r="H97" s="200">
        <f>+B97*(12+16*2)/(24.3+12+16*3)</f>
        <v>1.2970719602977668E-3</v>
      </c>
    </row>
    <row r="98" spans="1:12">
      <c r="A98" s="7"/>
    </row>
    <row r="99" spans="1:12">
      <c r="A99" s="7">
        <v>15</v>
      </c>
      <c r="B99" s="7" t="s">
        <v>135</v>
      </c>
      <c r="C99" s="7" t="s">
        <v>193</v>
      </c>
      <c r="D99" s="7" t="s">
        <v>7</v>
      </c>
      <c r="E99" s="246" t="s">
        <v>194</v>
      </c>
      <c r="F99" s="7" t="s">
        <v>133</v>
      </c>
      <c r="G99" s="7" t="s">
        <v>193</v>
      </c>
      <c r="H99" s="7" t="s">
        <v>242</v>
      </c>
    </row>
    <row r="100" spans="1:12">
      <c r="A100" s="7"/>
      <c r="B100" s="209">
        <f>+G28</f>
        <v>0</v>
      </c>
      <c r="C100" s="7"/>
      <c r="D100" s="200">
        <f>+B100*118.7/(63.5*2+32)</f>
        <v>0</v>
      </c>
      <c r="E100" s="200"/>
      <c r="F100" s="200">
        <f>+B100*(118.7+32)/(63.5*2+32)</f>
        <v>0</v>
      </c>
      <c r="G100" s="200"/>
      <c r="H100" s="200">
        <f>+B100*2*63.5/(63.5*2+32)</f>
        <v>0</v>
      </c>
    </row>
    <row r="101" spans="1:12">
      <c r="A101" s="7"/>
    </row>
    <row r="102" spans="1:12">
      <c r="A102" s="7">
        <v>16</v>
      </c>
      <c r="B102" s="7" t="s">
        <v>5</v>
      </c>
      <c r="C102" s="7" t="s">
        <v>193</v>
      </c>
      <c r="D102" s="7" t="s">
        <v>7</v>
      </c>
      <c r="E102" s="246" t="s">
        <v>194</v>
      </c>
      <c r="F102" s="7" t="s">
        <v>133</v>
      </c>
      <c r="K102" t="s">
        <v>598</v>
      </c>
    </row>
    <row r="103" spans="1:12">
      <c r="A103" s="7"/>
      <c r="B103" s="209">
        <f>+G35</f>
        <v>0.11115803057161382</v>
      </c>
      <c r="C103" s="7"/>
      <c r="D103" s="200">
        <f>+B103*118.7/32</f>
        <v>0.41232681965158002</v>
      </c>
      <c r="E103" s="200"/>
      <c r="F103" s="200">
        <f>+B103*(118.7+32)/32</f>
        <v>0.5234848502231938</v>
      </c>
      <c r="K103" t="s">
        <v>591</v>
      </c>
      <c r="L103">
        <f>+Principal!V22</f>
        <v>0</v>
      </c>
    </row>
    <row r="104" spans="1:12">
      <c r="A104" s="7"/>
      <c r="K104" t="s">
        <v>592</v>
      </c>
      <c r="L104">
        <f>1-L103</f>
        <v>1</v>
      </c>
    </row>
    <row r="105" spans="1:12">
      <c r="A105" s="7"/>
      <c r="B105" s="190" t="s">
        <v>244</v>
      </c>
    </row>
    <row r="106" spans="1:12">
      <c r="A106" s="7"/>
      <c r="B106" s="190"/>
    </row>
    <row r="107" spans="1:12">
      <c r="A107" s="7">
        <v>17</v>
      </c>
      <c r="B107" s="7" t="s">
        <v>394</v>
      </c>
      <c r="C107" s="7" t="s">
        <v>193</v>
      </c>
      <c r="D107" s="264" t="s">
        <v>216</v>
      </c>
      <c r="E107" s="246" t="s">
        <v>194</v>
      </c>
      <c r="F107" s="7" t="s">
        <v>395</v>
      </c>
      <c r="G107" s="7" t="s">
        <v>193</v>
      </c>
      <c r="H107" s="7" t="s">
        <v>393</v>
      </c>
    </row>
    <row r="108" spans="1:12">
      <c r="A108" s="7"/>
      <c r="B108" s="388">
        <f>+N45*C179/100</f>
        <v>0</v>
      </c>
      <c r="C108" s="7"/>
      <c r="D108" s="265">
        <f>+B108*30/(3.5*32)</f>
        <v>0</v>
      </c>
      <c r="E108" s="200"/>
      <c r="F108" s="200">
        <f>+B108*2*44/(3.5*32)</f>
        <v>0</v>
      </c>
      <c r="H108" s="200">
        <f>+B108*3*18/(3.5*32)</f>
        <v>0</v>
      </c>
      <c r="K108" t="s">
        <v>597</v>
      </c>
    </row>
    <row r="109" spans="1:12">
      <c r="A109" s="7"/>
      <c r="D109" s="266"/>
      <c r="K109" t="s">
        <v>591</v>
      </c>
      <c r="L109">
        <f>+Principal!V26</f>
        <v>0</v>
      </c>
    </row>
    <row r="110" spans="1:12">
      <c r="A110" s="7">
        <v>18</v>
      </c>
      <c r="B110" s="7" t="s">
        <v>243</v>
      </c>
      <c r="C110" s="7" t="s">
        <v>193</v>
      </c>
      <c r="D110" s="264" t="s">
        <v>195</v>
      </c>
      <c r="E110" s="246" t="s">
        <v>194</v>
      </c>
      <c r="F110" s="7" t="s">
        <v>217</v>
      </c>
      <c r="K110" t="s">
        <v>592</v>
      </c>
      <c r="L110">
        <f>1-L109</f>
        <v>1</v>
      </c>
    </row>
    <row r="111" spans="1:12">
      <c r="A111" s="7"/>
      <c r="B111" s="209">
        <f>+N45*C180/100</f>
        <v>2.9325445268917294</v>
      </c>
      <c r="C111" s="7"/>
      <c r="D111" s="265">
        <f>+B111*28/16</f>
        <v>5.1319529220605267</v>
      </c>
      <c r="E111" s="200"/>
      <c r="F111" s="200">
        <f>+B111*44/16</f>
        <v>8.0644974489522561</v>
      </c>
    </row>
    <row r="112" spans="1:12">
      <c r="A112" s="7"/>
      <c r="D112" s="266"/>
    </row>
    <row r="113" spans="1:26">
      <c r="A113" s="7">
        <v>19</v>
      </c>
      <c r="B113" s="7" t="s">
        <v>243</v>
      </c>
      <c r="C113" s="7" t="s">
        <v>193</v>
      </c>
      <c r="D113" s="264" t="s">
        <v>156</v>
      </c>
      <c r="E113" s="246" t="s">
        <v>194</v>
      </c>
      <c r="F113" s="7" t="s">
        <v>195</v>
      </c>
    </row>
    <row r="114" spans="1:26">
      <c r="A114" s="7"/>
      <c r="B114" s="209">
        <f>+N45*(C181)/100</f>
        <v>0</v>
      </c>
      <c r="C114" s="7"/>
      <c r="D114" s="200">
        <f>+B114*0.75</f>
        <v>0</v>
      </c>
      <c r="E114" s="200"/>
      <c r="F114" s="200">
        <f>+B114*1.75</f>
        <v>0</v>
      </c>
    </row>
    <row r="115" spans="1:26">
      <c r="A115" s="7"/>
    </row>
    <row r="116" spans="1:26">
      <c r="A116" s="7"/>
      <c r="B116" s="190" t="s">
        <v>594</v>
      </c>
      <c r="J116" s="7"/>
      <c r="K116" s="190" t="s">
        <v>593</v>
      </c>
      <c r="S116" s="7"/>
      <c r="T116" s="190" t="s">
        <v>595</v>
      </c>
    </row>
    <row r="117" spans="1:26">
      <c r="A117" s="7"/>
      <c r="J117" s="7"/>
      <c r="S117" s="7"/>
    </row>
    <row r="118" spans="1:26">
      <c r="A118" s="7">
        <v>20</v>
      </c>
      <c r="B118" s="7" t="s">
        <v>136</v>
      </c>
      <c r="C118" s="208" t="s">
        <v>193</v>
      </c>
      <c r="D118" s="7" t="s">
        <v>243</v>
      </c>
      <c r="E118" s="263" t="s">
        <v>194</v>
      </c>
      <c r="F118" s="7" t="s">
        <v>104</v>
      </c>
      <c r="G118" s="208"/>
      <c r="H118" s="7"/>
      <c r="J118" s="7">
        <v>20</v>
      </c>
      <c r="K118" s="7" t="s">
        <v>136</v>
      </c>
      <c r="L118" s="208" t="s">
        <v>193</v>
      </c>
      <c r="M118" s="7" t="s">
        <v>243</v>
      </c>
      <c r="N118" s="263" t="s">
        <v>194</v>
      </c>
      <c r="O118" s="7" t="s">
        <v>104</v>
      </c>
      <c r="P118" s="208"/>
      <c r="Q118" s="7"/>
      <c r="S118" s="7">
        <v>20</v>
      </c>
      <c r="T118" s="7" t="s">
        <v>136</v>
      </c>
      <c r="U118" s="208" t="s">
        <v>193</v>
      </c>
      <c r="V118" s="7" t="s">
        <v>243</v>
      </c>
      <c r="W118" s="263" t="s">
        <v>194</v>
      </c>
      <c r="X118" s="7" t="s">
        <v>104</v>
      </c>
      <c r="Y118" s="208"/>
      <c r="Z118" s="7"/>
    </row>
    <row r="119" spans="1:26">
      <c r="A119" s="7"/>
      <c r="B119" s="209">
        <f>+F79</f>
        <v>2.8645836998356433</v>
      </c>
      <c r="C119" s="7"/>
      <c r="D119" s="200">
        <f>+B119*16/(118.7+16)</f>
        <v>0.34026235484313511</v>
      </c>
      <c r="E119" s="200"/>
      <c r="F119" s="200">
        <f>+B119*(118.7+16*2)/(118.7+16)</f>
        <v>3.2048460546787783</v>
      </c>
      <c r="G119" s="200"/>
      <c r="H119" s="200"/>
      <c r="I119" s="210"/>
      <c r="J119" s="7"/>
      <c r="K119" s="209">
        <f>+F79*L109</f>
        <v>0</v>
      </c>
      <c r="L119" s="7"/>
      <c r="M119" s="200">
        <f>+K119*16/(118.7+16)</f>
        <v>0</v>
      </c>
      <c r="N119" s="200"/>
      <c r="O119" s="200">
        <f>+K119*(118.7+16*2)/(118.7+16)</f>
        <v>0</v>
      </c>
      <c r="P119" s="200"/>
      <c r="Q119" s="200"/>
      <c r="S119" s="7"/>
      <c r="T119" s="209">
        <f>+F79*L110</f>
        <v>2.8645836998356433</v>
      </c>
      <c r="U119" s="7"/>
      <c r="V119" s="200">
        <f>+T119*16/(118.7+16)</f>
        <v>0.34026235484313511</v>
      </c>
      <c r="W119" s="200"/>
      <c r="X119" s="200">
        <f>+T119*(118.7+16*2)/(118.7+16)</f>
        <v>3.2048460546787783</v>
      </c>
      <c r="Y119" s="200"/>
      <c r="Z119" s="200"/>
    </row>
    <row r="120" spans="1:26">
      <c r="A120" s="7"/>
      <c r="I120" s="210"/>
      <c r="J120" s="7"/>
      <c r="S120" s="7"/>
    </row>
    <row r="121" spans="1:26">
      <c r="A121" s="7">
        <v>21</v>
      </c>
      <c r="B121" s="7" t="s">
        <v>133</v>
      </c>
      <c r="C121" s="208" t="s">
        <v>193</v>
      </c>
      <c r="D121" s="7" t="s">
        <v>248</v>
      </c>
      <c r="E121" s="263" t="s">
        <v>194</v>
      </c>
      <c r="F121" s="7" t="s">
        <v>104</v>
      </c>
      <c r="G121" s="208" t="s">
        <v>193</v>
      </c>
      <c r="H121" s="7" t="s">
        <v>239</v>
      </c>
      <c r="I121" s="210"/>
      <c r="J121" s="7">
        <v>21</v>
      </c>
      <c r="K121" s="7" t="s">
        <v>133</v>
      </c>
      <c r="L121" s="208" t="s">
        <v>193</v>
      </c>
      <c r="M121" s="7" t="s">
        <v>248</v>
      </c>
      <c r="N121" s="263" t="s">
        <v>194</v>
      </c>
      <c r="O121" s="7" t="s">
        <v>104</v>
      </c>
      <c r="P121" s="208" t="s">
        <v>193</v>
      </c>
      <c r="Q121" s="7" t="s">
        <v>239</v>
      </c>
      <c r="S121" s="7">
        <v>21</v>
      </c>
      <c r="T121" s="7" t="s">
        <v>133</v>
      </c>
      <c r="U121" s="208" t="s">
        <v>193</v>
      </c>
      <c r="V121" s="7" t="s">
        <v>248</v>
      </c>
      <c r="W121" s="263" t="s">
        <v>194</v>
      </c>
      <c r="X121" s="7" t="s">
        <v>104</v>
      </c>
      <c r="Y121" s="208" t="s">
        <v>193</v>
      </c>
      <c r="Z121" s="7" t="s">
        <v>239</v>
      </c>
    </row>
    <row r="122" spans="1:26">
      <c r="A122" s="7"/>
      <c r="B122" s="209">
        <f>+(G11+F61+F100+F103)</f>
        <v>3.0882349637650641</v>
      </c>
      <c r="C122" s="7"/>
      <c r="D122" s="200">
        <f>+B122*64/(118.7+32)</f>
        <v>1.3115264610548383</v>
      </c>
      <c r="E122" s="200"/>
      <c r="F122" s="200">
        <f>+B122*(118.7+16*2)/(118.7+32)</f>
        <v>3.0882349637650641</v>
      </c>
      <c r="G122" s="200"/>
      <c r="H122" s="200">
        <f>+B122*64/(118.7+32)</f>
        <v>1.3115264610548383</v>
      </c>
      <c r="I122" s="210"/>
      <c r="J122" s="7"/>
      <c r="K122" s="209">
        <f>++(G11+F61+F100+F103)*L109</f>
        <v>0</v>
      </c>
      <c r="L122" s="7"/>
      <c r="M122" s="200">
        <f>+K122*64/(118.7+32)</f>
        <v>0</v>
      </c>
      <c r="N122" s="200"/>
      <c r="O122" s="200">
        <f>+K122*(118.7+16*2)/(118.7+32)</f>
        <v>0</v>
      </c>
      <c r="P122" s="200"/>
      <c r="Q122" s="200">
        <f>+K122*64/(118.7+32)</f>
        <v>0</v>
      </c>
      <c r="S122" s="7"/>
      <c r="T122" s="209">
        <f>++(G11+F61+F100+F103)*L110</f>
        <v>3.0882349637650641</v>
      </c>
      <c r="U122" s="7"/>
      <c r="V122" s="200">
        <f>+T122*64/(118.7+32)</f>
        <v>1.3115264610548383</v>
      </c>
      <c r="W122" s="200"/>
      <c r="X122" s="200">
        <f>+T122*(118.7+16*2)/(118.7+32)</f>
        <v>3.0882349637650641</v>
      </c>
      <c r="Y122" s="200"/>
      <c r="Z122" s="200">
        <f>+T122*64/(118.7+32)</f>
        <v>1.3115264610548383</v>
      </c>
    </row>
    <row r="123" spans="1:26">
      <c r="A123" s="7"/>
      <c r="I123" s="210"/>
      <c r="J123" s="7"/>
      <c r="S123" s="7"/>
    </row>
    <row r="124" spans="1:26">
      <c r="A124" s="7">
        <v>22</v>
      </c>
      <c r="B124" s="7" t="s">
        <v>243</v>
      </c>
      <c r="C124" s="208" t="s">
        <v>193</v>
      </c>
      <c r="D124" s="7" t="s">
        <v>195</v>
      </c>
      <c r="E124" s="263" t="s">
        <v>194</v>
      </c>
      <c r="F124" s="7" t="s">
        <v>217</v>
      </c>
      <c r="G124" s="208"/>
      <c r="H124" s="7"/>
      <c r="I124" s="210"/>
      <c r="J124" s="7">
        <v>22</v>
      </c>
      <c r="K124" s="7" t="s">
        <v>243</v>
      </c>
      <c r="L124" s="208" t="s">
        <v>193</v>
      </c>
      <c r="M124" s="7" t="s">
        <v>195</v>
      </c>
      <c r="N124" s="263" t="s">
        <v>194</v>
      </c>
      <c r="O124" s="7" t="s">
        <v>217</v>
      </c>
      <c r="P124" s="208"/>
      <c r="Q124" s="7"/>
      <c r="S124" s="7">
        <v>22</v>
      </c>
      <c r="T124" s="7" t="s">
        <v>243</v>
      </c>
      <c r="U124" s="208" t="s">
        <v>193</v>
      </c>
      <c r="V124" s="7" t="s">
        <v>195</v>
      </c>
      <c r="W124" s="263" t="s">
        <v>194</v>
      </c>
      <c r="X124" s="7" t="s">
        <v>217</v>
      </c>
      <c r="Y124" s="208"/>
      <c r="Z124" s="7"/>
    </row>
    <row r="125" spans="1:26">
      <c r="A125" s="7"/>
      <c r="B125" s="209">
        <f>IF((I248+N45*C182/100-D119-D122-D128-D131)&gt;K251,K251,(I248+N45*C182/100-D119-D122-D128-D131))</f>
        <v>7.8414076850940031</v>
      </c>
      <c r="C125" s="7"/>
      <c r="D125" s="200">
        <f>+B125*1.75</f>
        <v>13.722463448914505</v>
      </c>
      <c r="E125" s="200"/>
      <c r="F125" s="200">
        <f>+B125*2.75</f>
        <v>21.563871134008508</v>
      </c>
      <c r="G125" s="200"/>
      <c r="H125" s="200"/>
      <c r="I125" s="210"/>
      <c r="J125" s="7"/>
      <c r="K125" s="209">
        <f>B125*L109</f>
        <v>0</v>
      </c>
      <c r="L125" s="7"/>
      <c r="M125" s="200">
        <f>+K125*1.75</f>
        <v>0</v>
      </c>
      <c r="N125" s="200"/>
      <c r="O125" s="200">
        <f>+K125*2.75</f>
        <v>0</v>
      </c>
      <c r="P125" s="200"/>
      <c r="Q125" s="200"/>
      <c r="S125" s="7"/>
      <c r="T125" s="209">
        <f>B125*L110</f>
        <v>7.8414076850940031</v>
      </c>
      <c r="U125" s="7"/>
      <c r="V125" s="200">
        <f>+T125*1.75</f>
        <v>13.722463448914505</v>
      </c>
      <c r="W125" s="200"/>
      <c r="X125" s="200">
        <f>+T125*2.75</f>
        <v>21.563871134008508</v>
      </c>
      <c r="Y125" s="200"/>
      <c r="Z125" s="200"/>
    </row>
    <row r="126" spans="1:26">
      <c r="A126" s="7"/>
      <c r="I126" s="210"/>
      <c r="J126" s="7"/>
      <c r="S126" s="7"/>
    </row>
    <row r="127" spans="1:26">
      <c r="A127" s="7">
        <v>23</v>
      </c>
      <c r="B127" s="7" t="s">
        <v>201</v>
      </c>
      <c r="C127" s="208" t="s">
        <v>193</v>
      </c>
      <c r="D127" s="7" t="s">
        <v>245</v>
      </c>
      <c r="E127" s="263" t="s">
        <v>194</v>
      </c>
      <c r="F127" s="7" t="s">
        <v>239</v>
      </c>
      <c r="G127" s="208"/>
      <c r="H127" s="7"/>
      <c r="I127" s="210"/>
      <c r="J127" s="7">
        <v>23</v>
      </c>
      <c r="K127" s="7" t="s">
        <v>201</v>
      </c>
      <c r="L127" s="208" t="s">
        <v>193</v>
      </c>
      <c r="M127" s="7" t="s">
        <v>245</v>
      </c>
      <c r="N127" s="263" t="s">
        <v>194</v>
      </c>
      <c r="O127" s="7" t="s">
        <v>239</v>
      </c>
      <c r="P127" s="208"/>
      <c r="Q127" s="7"/>
      <c r="S127" s="7">
        <v>23</v>
      </c>
      <c r="T127" s="7" t="s">
        <v>201</v>
      </c>
      <c r="U127" s="208" t="s">
        <v>193</v>
      </c>
      <c r="V127" s="7" t="s">
        <v>245</v>
      </c>
      <c r="W127" s="263" t="s">
        <v>194</v>
      </c>
      <c r="X127" s="7" t="s">
        <v>239</v>
      </c>
      <c r="Y127" s="208"/>
      <c r="Z127" s="7"/>
    </row>
    <row r="128" spans="1:26">
      <c r="A128" s="7"/>
      <c r="B128" s="209">
        <f>J61</f>
        <v>0.14408052915930677</v>
      </c>
      <c r="C128" s="7"/>
      <c r="D128" s="200">
        <f>+B128*1</f>
        <v>0.14408052915930677</v>
      </c>
      <c r="E128" s="200"/>
      <c r="F128" s="200">
        <f>+B128*2</f>
        <v>0.28816105831861355</v>
      </c>
      <c r="G128" s="200"/>
      <c r="H128" s="200"/>
      <c r="I128" s="210"/>
      <c r="J128" s="7"/>
      <c r="K128" s="209">
        <f>+J61*L109</f>
        <v>0</v>
      </c>
      <c r="L128" s="7"/>
      <c r="M128" s="200">
        <f>+K128*1</f>
        <v>0</v>
      </c>
      <c r="N128" s="200"/>
      <c r="O128" s="200">
        <f>+K128*2</f>
        <v>0</v>
      </c>
      <c r="P128" s="200"/>
      <c r="Q128" s="200"/>
      <c r="S128" s="7"/>
      <c r="T128" s="209">
        <f>+J61*L110</f>
        <v>0.14408052915930677</v>
      </c>
      <c r="U128" s="7"/>
      <c r="V128" s="200">
        <f>+T128*1</f>
        <v>0.14408052915930677</v>
      </c>
      <c r="W128" s="200"/>
      <c r="X128" s="200">
        <f>+T128*2</f>
        <v>0.28816105831861355</v>
      </c>
      <c r="Y128" s="200"/>
      <c r="Z128" s="200"/>
    </row>
    <row r="129" spans="1:26">
      <c r="A129" s="7"/>
      <c r="I129" s="210"/>
      <c r="J129" s="7"/>
      <c r="S129" s="7"/>
    </row>
    <row r="130" spans="1:26">
      <c r="A130" s="7">
        <v>24</v>
      </c>
      <c r="B130" s="7" t="s">
        <v>216</v>
      </c>
      <c r="C130" s="208" t="s">
        <v>193</v>
      </c>
      <c r="D130" s="7" t="s">
        <v>394</v>
      </c>
      <c r="E130" s="263" t="s">
        <v>194</v>
      </c>
      <c r="F130" s="7" t="s">
        <v>392</v>
      </c>
      <c r="G130" s="208" t="s">
        <v>193</v>
      </c>
      <c r="H130" s="7" t="s">
        <v>393</v>
      </c>
      <c r="I130" s="210"/>
      <c r="J130" s="7">
        <v>24</v>
      </c>
      <c r="K130" s="7" t="s">
        <v>216</v>
      </c>
      <c r="L130" s="208" t="s">
        <v>193</v>
      </c>
      <c r="M130" s="7" t="s">
        <v>394</v>
      </c>
      <c r="N130" s="263" t="s">
        <v>194</v>
      </c>
      <c r="O130" s="7" t="s">
        <v>392</v>
      </c>
      <c r="P130" s="208" t="s">
        <v>193</v>
      </c>
      <c r="Q130" s="7" t="s">
        <v>393</v>
      </c>
      <c r="S130" s="7">
        <v>24</v>
      </c>
      <c r="T130" s="7" t="s">
        <v>216</v>
      </c>
      <c r="U130" s="208" t="s">
        <v>193</v>
      </c>
      <c r="V130" s="7" t="s">
        <v>394</v>
      </c>
      <c r="W130" s="263" t="s">
        <v>194</v>
      </c>
      <c r="X130" s="7" t="s">
        <v>392</v>
      </c>
      <c r="Y130" s="208" t="s">
        <v>193</v>
      </c>
      <c r="Z130" s="7" t="s">
        <v>393</v>
      </c>
    </row>
    <row r="131" spans="1:26">
      <c r="A131" s="7"/>
      <c r="B131" s="388">
        <f>+G32-D108</f>
        <v>0.48909533451510079</v>
      </c>
      <c r="C131" s="7"/>
      <c r="D131" s="200">
        <f>+B131*3.5*32/30</f>
        <v>1.8259559155230429</v>
      </c>
      <c r="E131" s="200"/>
      <c r="F131" s="200">
        <f>+B131*2*44/30</f>
        <v>1.4346796479109623</v>
      </c>
      <c r="G131" s="200"/>
      <c r="H131" s="200">
        <f>+B131*3*18/30</f>
        <v>0.88037160212718146</v>
      </c>
      <c r="I131" s="210"/>
      <c r="J131" s="7"/>
      <c r="K131" s="388">
        <f>+(G32-D108)*L109</f>
        <v>0</v>
      </c>
      <c r="L131" s="7"/>
      <c r="M131" s="200">
        <f>+K131*3.5*32/30</f>
        <v>0</v>
      </c>
      <c r="N131" s="200"/>
      <c r="O131" s="200">
        <f>+K131*2*44/30</f>
        <v>0</v>
      </c>
      <c r="P131" s="200"/>
      <c r="Q131" s="200">
        <f>+K131*3*18/30</f>
        <v>0</v>
      </c>
      <c r="S131" s="7"/>
      <c r="T131" s="388">
        <f>+(G32-D108)*L110</f>
        <v>0.48909533451510079</v>
      </c>
      <c r="U131" s="7"/>
      <c r="V131" s="200">
        <f>+T131*3.5*32/30</f>
        <v>1.8259559155230429</v>
      </c>
      <c r="W131" s="200"/>
      <c r="X131" s="200">
        <f>+T131*2*44/30</f>
        <v>1.4346796479109623</v>
      </c>
      <c r="Y131" s="200"/>
      <c r="Z131" s="200">
        <f>+T131*3*18/30</f>
        <v>0.88037160212718146</v>
      </c>
    </row>
    <row r="132" spans="1:26">
      <c r="A132" s="7"/>
    </row>
    <row r="133" spans="1:26">
      <c r="A133" s="7"/>
      <c r="B133" s="7"/>
      <c r="C133" s="208"/>
      <c r="D133" s="7"/>
      <c r="E133" s="263"/>
      <c r="F133" s="7"/>
      <c r="G133" s="208"/>
      <c r="H133" s="7"/>
    </row>
    <row r="134" spans="1:26" ht="15.6">
      <c r="B134" s="158" t="s">
        <v>277</v>
      </c>
    </row>
    <row r="136" spans="1:26">
      <c r="A136" s="7">
        <v>1</v>
      </c>
      <c r="B136" s="190" t="s">
        <v>235</v>
      </c>
      <c r="D136" s="297">
        <f>+Principal!Q20</f>
        <v>19</v>
      </c>
      <c r="E136" t="s">
        <v>212</v>
      </c>
      <c r="F136" s="157">
        <f>+G200-D136</f>
        <v>1.5996362772702426</v>
      </c>
    </row>
    <row r="137" spans="1:26">
      <c r="A137" s="7"/>
    </row>
    <row r="138" spans="1:26">
      <c r="A138" s="7"/>
      <c r="B138" s="190" t="s">
        <v>196</v>
      </c>
    </row>
    <row r="139" spans="1:26">
      <c r="A139" s="7"/>
      <c r="D139" s="7" t="s">
        <v>212</v>
      </c>
    </row>
    <row r="140" spans="1:26">
      <c r="A140" s="7"/>
      <c r="B140" s="152" t="s">
        <v>276</v>
      </c>
      <c r="C140" s="202"/>
      <c r="D140" s="243">
        <f>100-D141-D142</f>
        <v>56.789731767471359</v>
      </c>
    </row>
    <row r="141" spans="1:26">
      <c r="A141" s="7"/>
      <c r="B141" s="135" t="s">
        <v>197</v>
      </c>
      <c r="C141" s="184"/>
      <c r="D141" s="295">
        <f>+Factores!D10</f>
        <v>5</v>
      </c>
    </row>
    <row r="142" spans="1:26">
      <c r="A142" s="7"/>
      <c r="B142" s="136" t="s">
        <v>198</v>
      </c>
      <c r="C142" s="185"/>
      <c r="D142" s="296">
        <f>+macro!B29</f>
        <v>38.210268232528641</v>
      </c>
    </row>
    <row r="143" spans="1:26">
      <c r="A143" s="7"/>
      <c r="D143" s="200">
        <f>SUM(D140:D142)</f>
        <v>100</v>
      </c>
    </row>
    <row r="144" spans="1:26">
      <c r="A144" s="7"/>
    </row>
    <row r="145" spans="1:10">
      <c r="A145" s="7">
        <v>2</v>
      </c>
      <c r="B145" s="190" t="s">
        <v>278</v>
      </c>
    </row>
    <row r="146" spans="1:10">
      <c r="A146" s="7"/>
      <c r="C146" s="7" t="s">
        <v>212</v>
      </c>
      <c r="D146" s="7" t="s">
        <v>151</v>
      </c>
    </row>
    <row r="147" spans="1:10">
      <c r="A147" s="7"/>
      <c r="B147" s="183" t="s">
        <v>209</v>
      </c>
      <c r="C147" s="303">
        <f>+Factores!C14</f>
        <v>6</v>
      </c>
      <c r="D147" s="243">
        <f>+C147*$D$151/100</f>
        <v>0.44338150361597067</v>
      </c>
      <c r="F147" s="190" t="s">
        <v>204</v>
      </c>
      <c r="H147" s="210"/>
    </row>
    <row r="148" spans="1:10">
      <c r="A148" s="7"/>
      <c r="B148" s="100" t="s">
        <v>210</v>
      </c>
      <c r="C148" s="304">
        <f>+Factores!C15</f>
        <v>10</v>
      </c>
      <c r="D148" s="244">
        <f>+C148*$D$151/100</f>
        <v>0.73896917269328444</v>
      </c>
      <c r="F148" t="s">
        <v>205</v>
      </c>
      <c r="H148" s="341">
        <f>+macro!B33</f>
        <v>10.417595572132049</v>
      </c>
      <c r="I148" t="s">
        <v>212</v>
      </c>
      <c r="J148" s="210"/>
    </row>
    <row r="149" spans="1:10">
      <c r="A149" s="7"/>
      <c r="B149" s="100" t="s">
        <v>211</v>
      </c>
      <c r="C149" s="304">
        <f>+Factores!C16</f>
        <v>82</v>
      </c>
      <c r="D149" s="244">
        <f>+C149*$D$151/100</f>
        <v>6.0595472160849333</v>
      </c>
      <c r="H149" s="157">
        <f>+(C191+C212-F88)</f>
        <v>-1.3386630750219508E-3</v>
      </c>
    </row>
    <row r="150" spans="1:10">
      <c r="A150" s="7"/>
      <c r="B150" s="260" t="s">
        <v>74</v>
      </c>
      <c r="C150" s="305">
        <f>100-SUM(C147:C149)</f>
        <v>2</v>
      </c>
      <c r="D150" s="245">
        <f>+C150*$D$151/100</f>
        <v>0.14779383453865688</v>
      </c>
    </row>
    <row r="151" spans="1:10">
      <c r="A151" s="7"/>
      <c r="C151" s="252">
        <f>+SUM(C147:C150)</f>
        <v>100</v>
      </c>
      <c r="D151" s="302">
        <f>+G13*55.85/(55.85+2*118.7)+G14*(2*55.85)/(2*55.85+3*16)+G15*55.85/(55.85+2*32)+G16*55.85/(55.85+16)+G17</f>
        <v>7.3896917269328446</v>
      </c>
    </row>
    <row r="152" spans="1:10">
      <c r="A152" s="7"/>
    </row>
    <row r="153" spans="1:10">
      <c r="A153" s="7">
        <v>3</v>
      </c>
      <c r="B153" s="190" t="s">
        <v>279</v>
      </c>
    </row>
    <row r="154" spans="1:10">
      <c r="A154" s="7"/>
      <c r="C154" s="7" t="s">
        <v>212</v>
      </c>
      <c r="D154" s="7" t="s">
        <v>212</v>
      </c>
      <c r="E154" s="7" t="s">
        <v>212</v>
      </c>
    </row>
    <row r="155" spans="1:10">
      <c r="A155" s="7"/>
      <c r="B155" s="134"/>
      <c r="C155" s="269" t="s">
        <v>210</v>
      </c>
      <c r="D155" s="269" t="s">
        <v>74</v>
      </c>
      <c r="E155" s="241" t="s">
        <v>209</v>
      </c>
    </row>
    <row r="156" spans="1:10">
      <c r="A156" s="7"/>
      <c r="B156" s="100" t="s">
        <v>233</v>
      </c>
      <c r="C156" s="840">
        <f>+Factores!I16</f>
        <v>65</v>
      </c>
      <c r="D156" s="298">
        <f>+Factores!H16</f>
        <v>60</v>
      </c>
      <c r="E156" s="680">
        <f>+C156</f>
        <v>65</v>
      </c>
    </row>
    <row r="157" spans="1:10">
      <c r="A157" s="7"/>
      <c r="B157" s="260" t="s">
        <v>234</v>
      </c>
      <c r="C157" s="291">
        <f>100-C156</f>
        <v>35</v>
      </c>
      <c r="D157" s="291">
        <f>100-D156</f>
        <v>40</v>
      </c>
      <c r="E157" s="300">
        <f>100-E156</f>
        <v>35</v>
      </c>
    </row>
    <row r="158" spans="1:10">
      <c r="A158" s="7"/>
      <c r="C158" s="262">
        <f>+C156+C157</f>
        <v>100</v>
      </c>
      <c r="D158" s="262">
        <f>+D156+D157</f>
        <v>100</v>
      </c>
      <c r="E158" s="262">
        <f>+E156+E157</f>
        <v>100</v>
      </c>
    </row>
    <row r="159" spans="1:10">
      <c r="A159" s="7"/>
    </row>
    <row r="160" spans="1:10">
      <c r="A160" s="7">
        <v>4</v>
      </c>
      <c r="B160" s="190" t="s">
        <v>280</v>
      </c>
    </row>
    <row r="161" spans="1:6">
      <c r="A161" s="7"/>
      <c r="C161" s="7" t="s">
        <v>212</v>
      </c>
    </row>
    <row r="162" spans="1:6">
      <c r="A162" s="7"/>
      <c r="B162" s="152" t="s">
        <v>209</v>
      </c>
      <c r="C162" s="301">
        <f>+Factores!C22</f>
        <v>0.5</v>
      </c>
    </row>
    <row r="163" spans="1:6">
      <c r="A163" s="7"/>
      <c r="B163" s="135" t="s">
        <v>210</v>
      </c>
      <c r="C163" s="222">
        <f>+Factores!C23</f>
        <v>10</v>
      </c>
      <c r="F163" s="210"/>
    </row>
    <row r="164" spans="1:6">
      <c r="A164" s="7"/>
      <c r="B164" s="135" t="s">
        <v>211</v>
      </c>
      <c r="C164" s="222">
        <f>+Factores!C24</f>
        <v>75</v>
      </c>
    </row>
    <row r="165" spans="1:6">
      <c r="A165" s="7"/>
      <c r="B165" s="136" t="s">
        <v>74</v>
      </c>
      <c r="C165" s="306">
        <f>100-SUM(C162:C164)</f>
        <v>14.5</v>
      </c>
    </row>
    <row r="166" spans="1:6">
      <c r="C166" s="7">
        <f>+SUM(C162:C165)</f>
        <v>100</v>
      </c>
    </row>
    <row r="168" spans="1:6">
      <c r="A168" s="7">
        <v>5</v>
      </c>
      <c r="B168" s="190" t="s">
        <v>281</v>
      </c>
    </row>
    <row r="169" spans="1:6">
      <c r="C169" s="7" t="s">
        <v>212</v>
      </c>
      <c r="D169" s="7" t="s">
        <v>212</v>
      </c>
      <c r="E169" s="7" t="s">
        <v>212</v>
      </c>
      <c r="F169" s="7" t="s">
        <v>212</v>
      </c>
    </row>
    <row r="170" spans="1:6">
      <c r="B170" s="134"/>
      <c r="C170" s="269" t="s">
        <v>6</v>
      </c>
      <c r="D170" s="269" t="s">
        <v>8</v>
      </c>
      <c r="E170" s="269" t="s">
        <v>9</v>
      </c>
      <c r="F170" s="241" t="s">
        <v>75</v>
      </c>
    </row>
    <row r="171" spans="1:6">
      <c r="B171" s="100" t="s">
        <v>209</v>
      </c>
      <c r="C171" s="621">
        <v>30</v>
      </c>
      <c r="D171" s="622">
        <v>25</v>
      </c>
      <c r="E171" s="622">
        <v>27.5</v>
      </c>
      <c r="F171" s="623">
        <v>40</v>
      </c>
    </row>
    <row r="172" spans="1:6">
      <c r="B172" s="100" t="s">
        <v>210</v>
      </c>
      <c r="C172" s="624">
        <v>0</v>
      </c>
      <c r="D172" s="625">
        <v>10</v>
      </c>
      <c r="E172" s="625">
        <v>30</v>
      </c>
      <c r="F172" s="626">
        <v>10</v>
      </c>
    </row>
    <row r="173" spans="1:6">
      <c r="B173" s="100" t="s">
        <v>211</v>
      </c>
      <c r="C173" s="309">
        <f>100-C171-C172-C174</f>
        <v>30</v>
      </c>
      <c r="D173" s="307">
        <f>100-D171-D172-D174</f>
        <v>55</v>
      </c>
      <c r="E173" s="307">
        <f>100-E171-E172-E174</f>
        <v>32.5</v>
      </c>
      <c r="F173" s="310">
        <f>100-F171-F172-F174</f>
        <v>40</v>
      </c>
    </row>
    <row r="174" spans="1:6">
      <c r="B174" s="260" t="s">
        <v>74</v>
      </c>
      <c r="C174" s="627">
        <v>40</v>
      </c>
      <c r="D174" s="628">
        <v>10</v>
      </c>
      <c r="E174" s="628">
        <v>10</v>
      </c>
      <c r="F174" s="629">
        <v>10</v>
      </c>
    </row>
    <row r="175" spans="1:6">
      <c r="C175" s="7">
        <f>+SUM(C171:C174)</f>
        <v>100</v>
      </c>
      <c r="D175" s="7">
        <f>+SUM(D171:D174)</f>
        <v>100</v>
      </c>
      <c r="E175" s="7">
        <f>+SUM(E171:E174)</f>
        <v>100</v>
      </c>
      <c r="F175" s="7">
        <f>+SUM(F171:F174)</f>
        <v>100</v>
      </c>
    </row>
    <row r="177" spans="1:5">
      <c r="A177" s="7">
        <v>6</v>
      </c>
      <c r="B177" s="190" t="s">
        <v>282</v>
      </c>
    </row>
    <row r="178" spans="1:5">
      <c r="A178" s="7" t="s">
        <v>212</v>
      </c>
      <c r="B178" t="s">
        <v>580</v>
      </c>
      <c r="C178" s="262">
        <f>+B67/N45*100</f>
        <v>3.8671602892473151</v>
      </c>
    </row>
    <row r="179" spans="1:5">
      <c r="B179" s="152" t="s">
        <v>216</v>
      </c>
      <c r="C179" s="899">
        <v>0</v>
      </c>
      <c r="D179" s="389">
        <f>+G32*3.5*32/30/N45*100</f>
        <v>59.857344274301674</v>
      </c>
      <c r="E179" s="190" t="s">
        <v>397</v>
      </c>
    </row>
    <row r="180" spans="1:5">
      <c r="B180" s="135" t="s">
        <v>385</v>
      </c>
      <c r="C180" s="299">
        <f>+Factores!C33</f>
        <v>96.132839710752691</v>
      </c>
    </row>
    <row r="181" spans="1:5">
      <c r="B181" s="135" t="s">
        <v>386</v>
      </c>
      <c r="C181" s="299">
        <f>+Factores!C32</f>
        <v>0</v>
      </c>
      <c r="D181" s="214">
        <f>(IF((F64+G12)*16/ 118.7&lt;(N45-B67),(F64+G12)*16/ 118.7,(N45-B67)))/N45*100</f>
        <v>4.6026041507772115</v>
      </c>
      <c r="E181" t="s">
        <v>532</v>
      </c>
    </row>
    <row r="182" spans="1:5">
      <c r="B182" s="136" t="s">
        <v>245</v>
      </c>
      <c r="C182" s="300">
        <f>+Factores!C31</f>
        <v>0</v>
      </c>
    </row>
    <row r="183" spans="1:5">
      <c r="C183" s="262">
        <f>+SUM(C178:C182)</f>
        <v>100</v>
      </c>
    </row>
    <row r="184" spans="1:5">
      <c r="C184" s="7"/>
    </row>
    <row r="186" spans="1:5" ht="15.6">
      <c r="B186" s="158" t="s">
        <v>283</v>
      </c>
    </row>
    <row r="189" spans="1:5">
      <c r="B189" s="190" t="s">
        <v>230</v>
      </c>
      <c r="C189" s="7" t="s">
        <v>229</v>
      </c>
      <c r="D189" s="7" t="s">
        <v>212</v>
      </c>
    </row>
    <row r="190" spans="1:5">
      <c r="B190" s="152" t="s">
        <v>7</v>
      </c>
      <c r="C190" s="387">
        <f ca="1">+F76+H73+(F64+G12-D70)-C211-D100-D103</f>
        <v>25.885635109408316</v>
      </c>
      <c r="D190" s="313">
        <f t="shared" ref="D190:D196" ca="1" si="3">+C190/$C$197*100</f>
        <v>97.193179075657454</v>
      </c>
    </row>
    <row r="191" spans="1:5">
      <c r="B191" s="135" t="s">
        <v>10</v>
      </c>
      <c r="C191" s="224">
        <f>+D147*E156/100</f>
        <v>0.28819797735038094</v>
      </c>
      <c r="D191" s="314">
        <f t="shared" ca="1" si="3"/>
        <v>1.2651473863578542</v>
      </c>
    </row>
    <row r="192" spans="1:5">
      <c r="B192" s="135" t="s">
        <v>6</v>
      </c>
      <c r="C192" s="224">
        <f>+G24*C171/100</f>
        <v>1.6631051852590662E-2</v>
      </c>
      <c r="D192" s="315">
        <f t="shared" ca="1" si="3"/>
        <v>5.4540252371361564E-2</v>
      </c>
    </row>
    <row r="193" spans="2:11">
      <c r="B193" s="135" t="s">
        <v>8</v>
      </c>
      <c r="C193" s="224">
        <f>+G25*D171/100</f>
        <v>1.0216304058657477E-2</v>
      </c>
      <c r="D193" s="315">
        <f t="shared" ca="1" si="3"/>
        <v>5.6803387873957494E-2</v>
      </c>
    </row>
    <row r="194" spans="2:11">
      <c r="B194" s="135" t="s">
        <v>9</v>
      </c>
      <c r="C194" s="224">
        <f>+G26*E171/100</f>
        <v>7.9512293260490544E-2</v>
      </c>
      <c r="D194" s="315">
        <f t="shared" ca="1" si="3"/>
        <v>0.63777432336225748</v>
      </c>
    </row>
    <row r="195" spans="2:11">
      <c r="B195" s="135" t="s">
        <v>75</v>
      </c>
      <c r="C195" s="224">
        <f>+(G27+G28*2*63.5/(2*63.5+32))*F171/100</f>
        <v>0.11011868536163671</v>
      </c>
      <c r="D195" s="315">
        <f t="shared" ca="1" si="3"/>
        <v>0.41346426543884696</v>
      </c>
    </row>
    <row r="196" spans="2:11">
      <c r="B196" s="136" t="s">
        <v>103</v>
      </c>
      <c r="C196" s="249">
        <f>+G36*C162/100</f>
        <v>0.10474537115349726</v>
      </c>
      <c r="D196" s="218">
        <f t="shared" ca="1" si="3"/>
        <v>0.37909130893825738</v>
      </c>
    </row>
    <row r="197" spans="2:11">
      <c r="C197" s="209">
        <f ca="1">+SUM(C190:C196)</f>
        <v>26.633180800947287</v>
      </c>
      <c r="D197" s="200">
        <f ca="1">+SUM(D190:D196)</f>
        <v>99.999999999999986</v>
      </c>
    </row>
    <row r="199" spans="2:11">
      <c r="B199" s="190" t="s">
        <v>222</v>
      </c>
      <c r="C199" s="7" t="s">
        <v>229</v>
      </c>
      <c r="D199" s="7" t="s">
        <v>212</v>
      </c>
      <c r="G199" s="7" t="s">
        <v>212</v>
      </c>
    </row>
    <row r="200" spans="2:11">
      <c r="B200" s="152" t="s">
        <v>136</v>
      </c>
      <c r="C200" s="387">
        <f>+F82+K25*(118.7+16)/118.7</f>
        <v>22.039906214671497</v>
      </c>
      <c r="D200" s="243">
        <f t="shared" ref="D200:D206" si="4">+C200/$C$207*100</f>
        <v>23.376335354240116</v>
      </c>
      <c r="F200" s="183" t="s">
        <v>7</v>
      </c>
      <c r="G200" s="281">
        <f>+D200*118.7/(118.7+16)</f>
        <v>20.599636277270243</v>
      </c>
      <c r="J200" s="7" t="s">
        <v>229</v>
      </c>
    </row>
    <row r="201" spans="2:11">
      <c r="B201" s="135" t="s">
        <v>134</v>
      </c>
      <c r="C201" s="224">
        <f>+F91-C225+K26*71.85/55.85</f>
        <v>10.628423444007268</v>
      </c>
      <c r="D201" s="244">
        <f t="shared" si="4"/>
        <v>11.27289691226505</v>
      </c>
      <c r="F201" s="100" t="s">
        <v>10</v>
      </c>
      <c r="G201" s="282">
        <f>+D201*55.85/(55.85+16)</f>
        <v>8.7625788803062381</v>
      </c>
      <c r="I201" s="152" t="s">
        <v>6</v>
      </c>
      <c r="J201" s="171">
        <f>+G24*C173/100</f>
        <v>1.6631051852590662E-2</v>
      </c>
    </row>
    <row r="202" spans="2:11">
      <c r="B202" s="135" t="s">
        <v>93</v>
      </c>
      <c r="C202" s="224">
        <f>+G18+G50+K27</f>
        <v>21.053105058254907</v>
      </c>
      <c r="D202" s="244">
        <f t="shared" si="4"/>
        <v>22.329697744457981</v>
      </c>
      <c r="F202" s="100" t="s">
        <v>93</v>
      </c>
      <c r="G202" s="282">
        <f>+D202</f>
        <v>22.329697744457981</v>
      </c>
      <c r="I202" s="135" t="s">
        <v>8</v>
      </c>
      <c r="J202" s="843">
        <f>+G25*D173/100</f>
        <v>2.247586892904645E-2</v>
      </c>
      <c r="K202">
        <f>+J202/C207*100</f>
        <v>2.3838733447676178E-2</v>
      </c>
    </row>
    <row r="203" spans="2:11">
      <c r="B203" s="135" t="s">
        <v>105</v>
      </c>
      <c r="C203" s="224">
        <f>+G19+G51+K28</f>
        <v>8.4282946074038971</v>
      </c>
      <c r="D203" s="244">
        <f t="shared" si="4"/>
        <v>8.9393593279382131</v>
      </c>
      <c r="F203" s="100" t="s">
        <v>105</v>
      </c>
      <c r="G203" s="282">
        <f>+D203</f>
        <v>8.9393593279382131</v>
      </c>
      <c r="I203" s="135" t="s">
        <v>9</v>
      </c>
      <c r="J203" s="843">
        <f>+G26*E173/100</f>
        <v>9.3969073853307009E-2</v>
      </c>
      <c r="K203">
        <f>+J203/C207*100</f>
        <v>9.9667056743644233E-2</v>
      </c>
    </row>
    <row r="204" spans="2:11">
      <c r="B204" s="135" t="s">
        <v>129</v>
      </c>
      <c r="C204" s="224">
        <f>+G20+F94+K29</f>
        <v>14.915701137554322</v>
      </c>
      <c r="D204" s="244">
        <f t="shared" si="4"/>
        <v>15.820141358087334</v>
      </c>
      <c r="F204" s="100" t="s">
        <v>129</v>
      </c>
      <c r="G204" s="282">
        <f>+D204</f>
        <v>15.820141358087334</v>
      </c>
      <c r="I204" s="136" t="s">
        <v>75</v>
      </c>
      <c r="J204" s="138">
        <f>+(G27+G28*2*63.5/(2*63.5+32))*F173/100</f>
        <v>0.11011868536163671</v>
      </c>
    </row>
    <row r="205" spans="2:11">
      <c r="B205" s="135" t="s">
        <v>131</v>
      </c>
      <c r="C205" s="224">
        <f>+G21+F97+K30+I36/1000</f>
        <v>0.55952127832600007</v>
      </c>
      <c r="D205" s="244">
        <f t="shared" si="4"/>
        <v>0.59344885194089059</v>
      </c>
      <c r="F205" s="100" t="s">
        <v>131</v>
      </c>
      <c r="G205" s="282">
        <f>+D205</f>
        <v>0.59344885194089059</v>
      </c>
      <c r="J205" s="267">
        <f>SUM(J201:J204)</f>
        <v>0.24319467999658084</v>
      </c>
    </row>
    <row r="206" spans="2:11">
      <c r="B206" s="136" t="s">
        <v>103</v>
      </c>
      <c r="C206" s="217">
        <f>+G36*C164/100+(K31-K25*16/118.7-K26*16/55.85)+J205</f>
        <v>16.658030945833396</v>
      </c>
      <c r="D206" s="245">
        <f t="shared" si="4"/>
        <v>17.668120451070401</v>
      </c>
      <c r="F206" s="260" t="s">
        <v>103</v>
      </c>
      <c r="G206" s="312">
        <f>+D206+D200*16/(118.7+16)+D201*16/(55.85+16)</f>
        <v>22.955137559999088</v>
      </c>
    </row>
    <row r="207" spans="2:11">
      <c r="C207" s="209">
        <f>+SUM(C200:C206)</f>
        <v>94.282982686051298</v>
      </c>
      <c r="D207" s="200">
        <f>+SUM(D200:D206)</f>
        <v>100</v>
      </c>
      <c r="F207" s="210"/>
      <c r="G207" s="200">
        <f>+SUM(G200:G206)</f>
        <v>99.999999999999986</v>
      </c>
    </row>
    <row r="209" spans="2:11">
      <c r="B209" s="190" t="s">
        <v>232</v>
      </c>
    </row>
    <row r="210" spans="2:11">
      <c r="C210" s="7" t="s">
        <v>229</v>
      </c>
      <c r="D210" s="7" t="s">
        <v>212</v>
      </c>
    </row>
    <row r="211" spans="2:11">
      <c r="B211" s="152" t="s">
        <v>7</v>
      </c>
      <c r="C211" s="702">
        <f ca="1">+C212*G211</f>
        <v>5.1995275167011021</v>
      </c>
      <c r="D211" s="313">
        <f t="shared" ref="D211:D217" ca="1" si="5">+C211/$C$218*100</f>
        <v>65.000000000000099</v>
      </c>
      <c r="G211" s="1119">
        <f ca="1">+G211+I212/50</f>
        <v>9.2587204447400726</v>
      </c>
      <c r="I211" s="395">
        <f>+Factores!L22</f>
        <v>65</v>
      </c>
    </row>
    <row r="212" spans="2:11">
      <c r="B212" s="135" t="s">
        <v>10</v>
      </c>
      <c r="C212" s="224">
        <f>+D148*C156/100</f>
        <v>0.48032996225063485</v>
      </c>
      <c r="D212" s="314">
        <f t="shared" ca="1" si="5"/>
        <v>7.0204085313891245</v>
      </c>
      <c r="I212" s="317">
        <f ca="1">+I211-D211</f>
        <v>0</v>
      </c>
    </row>
    <row r="213" spans="2:11">
      <c r="B213" s="135" t="s">
        <v>6</v>
      </c>
      <c r="C213" s="224">
        <f>+G24*C172/100</f>
        <v>0</v>
      </c>
      <c r="D213" s="315">
        <f t="shared" ca="1" si="5"/>
        <v>0</v>
      </c>
    </row>
    <row r="214" spans="2:11">
      <c r="B214" s="135" t="s">
        <v>8</v>
      </c>
      <c r="C214" s="224">
        <f>+G25*D172/100</f>
        <v>4.0865216234629905E-3</v>
      </c>
      <c r="D214" s="315">
        <f t="shared" ca="1" si="5"/>
        <v>7.5649618656399992E-2</v>
      </c>
    </row>
    <row r="215" spans="2:11">
      <c r="B215" s="135" t="s">
        <v>9</v>
      </c>
      <c r="C215" s="224">
        <f>+G26*E172/100</f>
        <v>8.6740683556898776E-2</v>
      </c>
      <c r="D215" s="315">
        <f t="shared" ca="1" si="5"/>
        <v>2.3164775980482499</v>
      </c>
    </row>
    <row r="216" spans="2:11">
      <c r="B216" s="135" t="s">
        <v>75</v>
      </c>
      <c r="C216" s="224">
        <f>+(G27+G28*2*63.5/(2*63.5+32))*F172/100</f>
        <v>2.7529671340409179E-2</v>
      </c>
      <c r="D216" s="315">
        <f t="shared" ca="1" si="5"/>
        <v>0.34415216216836608</v>
      </c>
    </row>
    <row r="217" spans="2:11">
      <c r="B217" s="177" t="s">
        <v>103</v>
      </c>
      <c r="C217" s="249">
        <f>+G36*C163/100</f>
        <v>2.0949074230699454</v>
      </c>
      <c r="D217" s="218">
        <f t="shared" ca="1" si="5"/>
        <v>25.243312089737756</v>
      </c>
    </row>
    <row r="218" spans="2:11">
      <c r="C218" s="209">
        <f ca="1">+SUM(C211:C217)</f>
        <v>7.9992731026170674</v>
      </c>
      <c r="D218" s="200">
        <f ca="1">+SUM(D211:D217)</f>
        <v>100</v>
      </c>
    </row>
    <row r="220" spans="2:11">
      <c r="B220" s="190" t="s">
        <v>231</v>
      </c>
      <c r="F220" s="190" t="s">
        <v>284</v>
      </c>
    </row>
    <row r="221" spans="2:11">
      <c r="C221" s="7" t="s">
        <v>229</v>
      </c>
      <c r="D221" s="7" t="s">
        <v>212</v>
      </c>
    </row>
    <row r="222" spans="2:11">
      <c r="B222" s="152" t="s">
        <v>136</v>
      </c>
      <c r="C222" s="242">
        <f>+F79-K119</f>
        <v>2.8645836998356433</v>
      </c>
      <c r="D222" s="243">
        <f t="shared" ref="D222:D230" si="6">+C222/$C$231*100</f>
        <v>31.180094766111825</v>
      </c>
      <c r="G222" s="7" t="s">
        <v>229</v>
      </c>
      <c r="H222" s="7" t="s">
        <v>212</v>
      </c>
      <c r="K222" s="7" t="s">
        <v>212</v>
      </c>
    </row>
    <row r="223" spans="2:11">
      <c r="B223" t="s">
        <v>104</v>
      </c>
      <c r="C223" s="200">
        <f>+O119+O122</f>
        <v>0</v>
      </c>
      <c r="D223" s="243">
        <f t="shared" si="6"/>
        <v>0</v>
      </c>
      <c r="F223" s="152" t="s">
        <v>104</v>
      </c>
      <c r="G223" s="242">
        <f>+X119+X122+C223</f>
        <v>6.2930810184438428</v>
      </c>
      <c r="H223" s="243">
        <f t="shared" ref="H223:H229" si="7">+G223/$G$230*100</f>
        <v>66.051882471300956</v>
      </c>
      <c r="J223" t="s">
        <v>7</v>
      </c>
      <c r="K223" s="281">
        <f>+H223*118.7/(118.7+16*2)</f>
        <v>52.026267082570833</v>
      </c>
    </row>
    <row r="224" spans="2:11">
      <c r="B224" s="174" t="s">
        <v>133</v>
      </c>
      <c r="C224" s="224">
        <f>+G11+F61+F100+F103-K122</f>
        <v>3.0882349637650641</v>
      </c>
      <c r="D224" s="244">
        <f t="shared" si="6"/>
        <v>33.614468600006134</v>
      </c>
      <c r="F224" s="135" t="s">
        <v>134</v>
      </c>
      <c r="G224" s="224">
        <f t="shared" ref="G224:G229" si="8">+C225</f>
        <v>0.11408043342813783</v>
      </c>
      <c r="H224" s="244">
        <f t="shared" si="7"/>
        <v>1.1973828652429694</v>
      </c>
      <c r="J224" t="s">
        <v>10</v>
      </c>
      <c r="K224" s="282">
        <f>+H224*55.85/(55.85+16)</f>
        <v>0.93074228286457683</v>
      </c>
    </row>
    <row r="225" spans="2:21">
      <c r="B225" s="135" t="s">
        <v>134</v>
      </c>
      <c r="C225" s="224">
        <f>+D150*D156/100*(55.85+16)/55.85</f>
        <v>0.11408043342813783</v>
      </c>
      <c r="D225" s="244">
        <f t="shared" si="6"/>
        <v>1.2417297233983895</v>
      </c>
      <c r="F225" s="135" t="s">
        <v>6</v>
      </c>
      <c r="G225" s="224">
        <f t="shared" si="8"/>
        <v>2.2174735803454214E-2</v>
      </c>
      <c r="H225" s="244">
        <f t="shared" si="7"/>
        <v>0.23274498434537791</v>
      </c>
      <c r="J225" t="s">
        <v>6</v>
      </c>
      <c r="K225" s="282">
        <f>+H225</f>
        <v>0.23274498434537791</v>
      </c>
    </row>
    <row r="226" spans="2:21">
      <c r="B226" s="135" t="s">
        <v>6</v>
      </c>
      <c r="C226" s="224">
        <f>+G24*C174/100</f>
        <v>2.2174735803454214E-2</v>
      </c>
      <c r="D226" s="248">
        <f t="shared" si="6"/>
        <v>0.24136504156079125</v>
      </c>
      <c r="F226" s="135" t="s">
        <v>8</v>
      </c>
      <c r="G226" s="224">
        <f t="shared" si="8"/>
        <v>4.0865216234629905E-3</v>
      </c>
      <c r="H226" s="244">
        <f t="shared" si="7"/>
        <v>4.2891938813168821E-2</v>
      </c>
      <c r="J226" t="s">
        <v>8</v>
      </c>
      <c r="K226" s="282">
        <f>+H226</f>
        <v>4.2891938813168821E-2</v>
      </c>
    </row>
    <row r="227" spans="2:21">
      <c r="B227" s="135" t="s">
        <v>8</v>
      </c>
      <c r="C227" s="224">
        <f>+G25*D174/100</f>
        <v>4.0865216234629905E-3</v>
      </c>
      <c r="D227" s="248">
        <f t="shared" si="6"/>
        <v>4.4480505663231924E-2</v>
      </c>
      <c r="F227" s="135" t="s">
        <v>9</v>
      </c>
      <c r="G227" s="224">
        <f t="shared" si="8"/>
        <v>2.8913561185632927E-2</v>
      </c>
      <c r="H227" s="244">
        <f t="shared" si="7"/>
        <v>0.30347537869970892</v>
      </c>
      <c r="J227" t="s">
        <v>9</v>
      </c>
      <c r="K227" s="282">
        <f>+H227</f>
        <v>0.30347537869970892</v>
      </c>
    </row>
    <row r="228" spans="2:21">
      <c r="B228" s="135" t="s">
        <v>9</v>
      </c>
      <c r="C228" s="224">
        <f>+G26*E174/100</f>
        <v>2.8913561185632927E-2</v>
      </c>
      <c r="D228" s="248">
        <f t="shared" si="6"/>
        <v>0.31471504143709705</v>
      </c>
      <c r="F228" s="135" t="s">
        <v>75</v>
      </c>
      <c r="G228" s="224">
        <f t="shared" si="8"/>
        <v>2.7529671340409179E-2</v>
      </c>
      <c r="H228" s="244">
        <f t="shared" si="7"/>
        <v>0.28895013595421676</v>
      </c>
      <c r="J228" t="s">
        <v>75</v>
      </c>
      <c r="K228" s="282">
        <f>+H228</f>
        <v>0.28895013595421676</v>
      </c>
    </row>
    <row r="229" spans="2:21">
      <c r="B229" s="135" t="s">
        <v>75</v>
      </c>
      <c r="C229" s="224">
        <f>+(G27+G28*2*63.5/(2*63.5+32))*F174/100</f>
        <v>2.7529671340409179E-2</v>
      </c>
      <c r="D229" s="248">
        <f t="shared" si="6"/>
        <v>0.29965183468827272</v>
      </c>
      <c r="F229" s="136" t="s">
        <v>103</v>
      </c>
      <c r="G229" s="249">
        <f t="shared" si="8"/>
        <v>3.0376157634514205</v>
      </c>
      <c r="H229" s="245">
        <f t="shared" si="7"/>
        <v>31.882672225643589</v>
      </c>
      <c r="J229" t="s">
        <v>103</v>
      </c>
      <c r="K229" s="312">
        <f>+H229+H223*32/(118.7+32)+H224*16/ 71.85</f>
        <v>46.174928196752113</v>
      </c>
    </row>
    <row r="230" spans="2:21">
      <c r="B230" s="136" t="s">
        <v>103</v>
      </c>
      <c r="C230" s="249">
        <f>+G36*C165/100</f>
        <v>3.0376157634514205</v>
      </c>
      <c r="D230" s="245">
        <f t="shared" si="6"/>
        <v>33.06349448713425</v>
      </c>
      <c r="G230" s="209">
        <f>SUM(G223:G229)</f>
        <v>9.5274817052763616</v>
      </c>
      <c r="H230" s="200">
        <f>SUM(H223:H229)</f>
        <v>100</v>
      </c>
      <c r="J230" s="210"/>
      <c r="K230" s="200">
        <f>+SUM(K223:K229)</f>
        <v>100</v>
      </c>
    </row>
    <row r="231" spans="2:21">
      <c r="C231" s="200">
        <f>+SUM(C222:C230)</f>
        <v>9.1872193504332262</v>
      </c>
      <c r="D231" s="200">
        <f>+SUM(D222:D230)</f>
        <v>100</v>
      </c>
    </row>
    <row r="232" spans="2:21">
      <c r="O232" t="s">
        <v>515</v>
      </c>
      <c r="R232" s="7" t="s">
        <v>229</v>
      </c>
    </row>
    <row r="233" spans="2:21">
      <c r="B233" s="190" t="s">
        <v>238</v>
      </c>
      <c r="O233" s="297">
        <f>+Factores!K42</f>
        <v>2000</v>
      </c>
      <c r="P233" t="s">
        <v>268</v>
      </c>
      <c r="Q233" s="152" t="s">
        <v>245</v>
      </c>
      <c r="R233" s="243">
        <f>(0.21*(100-K9)/100*O233)*32/22.4/1000*K11</f>
        <v>3.0568621188464871</v>
      </c>
    </row>
    <row r="234" spans="2:21">
      <c r="C234" s="7" t="s">
        <v>229</v>
      </c>
      <c r="D234" s="7" t="s">
        <v>268</v>
      </c>
      <c r="E234" s="7" t="s">
        <v>241</v>
      </c>
      <c r="G234" s="190" t="s">
        <v>284</v>
      </c>
      <c r="L234" s="404" t="s">
        <v>404</v>
      </c>
      <c r="O234" t="s">
        <v>402</v>
      </c>
      <c r="Q234" s="135" t="s">
        <v>219</v>
      </c>
      <c r="R234" s="244">
        <f>(0.21*(100-K9)/100*79/21*O233)*28/22.4/1000*K11</f>
        <v>10.062171141203022</v>
      </c>
    </row>
    <row r="235" spans="2:21">
      <c r="B235" s="152" t="s">
        <v>217</v>
      </c>
      <c r="C235" s="258">
        <f>+G45*44/12+H94+H97+F111+F108+O125+O131</f>
        <v>28.408467655952631</v>
      </c>
      <c r="D235" s="318">
        <f>+C235*1000*22.4/44/K11</f>
        <v>2838.6938100379994</v>
      </c>
      <c r="E235" s="243">
        <f t="shared" ref="E235:E242" si="9">+D235/$D$243*100</f>
        <v>16.49728717001992</v>
      </c>
      <c r="O235" s="297">
        <f>+macro!D16</f>
        <v>21710.560656583031</v>
      </c>
      <c r="P235" t="s">
        <v>403</v>
      </c>
      <c r="Q235" s="136" t="s">
        <v>150</v>
      </c>
      <c r="R235" s="245">
        <f>+K9/100*O233*18/22.4/1000*K11</f>
        <v>0</v>
      </c>
    </row>
    <row r="236" spans="2:21">
      <c r="B236" s="135" t="s">
        <v>195</v>
      </c>
      <c r="C236" s="252">
        <f>+H58+H76+H85+H88+F114-D111-M125</f>
        <v>15.738679518906075</v>
      </c>
      <c r="D236" s="319">
        <f>+C236*1000*22.4/28/K11</f>
        <v>2471.3467194018044</v>
      </c>
      <c r="E236" s="244">
        <f t="shared" si="9"/>
        <v>14.362421330010383</v>
      </c>
      <c r="H236" s="7" t="s">
        <v>229</v>
      </c>
      <c r="I236" s="7" t="s">
        <v>268</v>
      </c>
      <c r="J236" s="7" t="s">
        <v>246</v>
      </c>
      <c r="L236" s="7" t="s">
        <v>229</v>
      </c>
      <c r="M236" s="7" t="s">
        <v>268</v>
      </c>
      <c r="N236" s="7" t="s">
        <v>246</v>
      </c>
      <c r="R236" s="200">
        <f>SUM(R233:R235)</f>
        <v>13.119033260049509</v>
      </c>
    </row>
    <row r="237" spans="2:21">
      <c r="B237" s="135" t="s">
        <v>219</v>
      </c>
      <c r="C237" s="252">
        <f>+G48+G34+I249*L103</f>
        <v>37.436977395660733</v>
      </c>
      <c r="D237" s="319">
        <f>+C237*1000*22.4/28/K11</f>
        <v>5878.4951532907444</v>
      </c>
      <c r="E237" s="244">
        <f t="shared" si="9"/>
        <v>34.163326220135552</v>
      </c>
      <c r="G237" s="152" t="s">
        <v>217</v>
      </c>
      <c r="H237" s="242">
        <f>+C235+X125+X131</f>
        <v>51.407018437872104</v>
      </c>
      <c r="I237" s="318">
        <f>+H237*1000*22.4/44/K11</f>
        <v>5136.8059270004078</v>
      </c>
      <c r="J237" s="313">
        <f t="shared" ref="J237:J242" si="10">+I237/$I$243*100</f>
        <v>21.899724470973897</v>
      </c>
      <c r="L237" s="256">
        <f>+H237+U239</f>
        <v>54.575357976430283</v>
      </c>
      <c r="M237" s="318">
        <f>+L237*1000*22.4/44/K11</f>
        <v>5453.3997660320319</v>
      </c>
      <c r="N237" s="401">
        <f t="shared" ref="N237:N242" si="11">+M237/$M$243*100</f>
        <v>10.424097199315362</v>
      </c>
    </row>
    <row r="238" spans="2:21">
      <c r="B238" s="135" t="s">
        <v>239</v>
      </c>
      <c r="C238" s="252">
        <f>+G49*2+Q122+O128</f>
        <v>0</v>
      </c>
      <c r="D238" s="319">
        <f>+C238*1000*22.4/64/K11</f>
        <v>0</v>
      </c>
      <c r="E238" s="244">
        <f t="shared" si="9"/>
        <v>0</v>
      </c>
      <c r="G238" s="135" t="s">
        <v>195</v>
      </c>
      <c r="H238" s="224">
        <f>+C236-V125</f>
        <v>2.0162160699915699</v>
      </c>
      <c r="I238" s="319">
        <f>+H238*1000*22.4/28/K11</f>
        <v>316.59383903162387</v>
      </c>
      <c r="J238" s="314">
        <f t="shared" si="10"/>
        <v>1.3497332666506001</v>
      </c>
      <c r="L238" s="257">
        <f>+H238-S239</f>
        <v>0</v>
      </c>
      <c r="M238" s="319">
        <f>+L238*1000*22.4/28/K11</f>
        <v>0</v>
      </c>
      <c r="N238" s="402">
        <f t="shared" si="11"/>
        <v>0</v>
      </c>
      <c r="Q238" s="7" t="s">
        <v>243</v>
      </c>
      <c r="R238" s="208" t="s">
        <v>193</v>
      </c>
      <c r="S238" s="7" t="s">
        <v>195</v>
      </c>
      <c r="T238" s="263" t="s">
        <v>194</v>
      </c>
      <c r="U238" s="7" t="s">
        <v>217</v>
      </c>
    </row>
    <row r="239" spans="2:21">
      <c r="B239" s="135" t="s">
        <v>150</v>
      </c>
      <c r="C239" s="252">
        <f>+G52+G37+G46*18/2+H108+Q131+I250*L109</f>
        <v>24.031984127804435</v>
      </c>
      <c r="D239" s="319">
        <f>+C239*1000*22.4/18/K11</f>
        <v>5870.0329895367131</v>
      </c>
      <c r="E239" s="244">
        <f t="shared" si="9"/>
        <v>34.114147705342475</v>
      </c>
      <c r="G239" s="135" t="s">
        <v>219</v>
      </c>
      <c r="H239" s="224">
        <f>+C237+I249*L104</f>
        <v>75.170119175172061</v>
      </c>
      <c r="I239" s="319">
        <f>+H239*1000*22.4/28/K11</f>
        <v>11803.495153290745</v>
      </c>
      <c r="J239" s="314">
        <f t="shared" si="10"/>
        <v>50.321794384489813</v>
      </c>
      <c r="L239" s="257">
        <f>+H239+R234</f>
        <v>85.232290316375085</v>
      </c>
      <c r="M239" s="319">
        <f>+L239*1000*22.4/28/K11</f>
        <v>13383.495153290747</v>
      </c>
      <c r="N239" s="402">
        <f t="shared" si="11"/>
        <v>25.582363356790694</v>
      </c>
      <c r="Q239" s="209">
        <f>IF(H238*16/28&gt;R233,R233,H238*16/28)</f>
        <v>1.1521234685666113</v>
      </c>
      <c r="R239" s="7"/>
      <c r="S239" s="200">
        <f>+Q239*1.75</f>
        <v>2.0162160699915699</v>
      </c>
      <c r="T239" s="200"/>
      <c r="U239" s="200">
        <f>+Q239*2.75</f>
        <v>3.1683395385581812</v>
      </c>
    </row>
    <row r="240" spans="2:21">
      <c r="B240" s="174" t="s">
        <v>216</v>
      </c>
      <c r="C240" s="252">
        <f>+B131-K131</f>
        <v>0.48909533451510079</v>
      </c>
      <c r="D240" s="319">
        <f>+C240*1000*22.4/16/K11</f>
        <v>134.39928430521292</v>
      </c>
      <c r="E240" s="244">
        <f t="shared" si="9"/>
        <v>0.78107176645394116</v>
      </c>
      <c r="G240" s="135" t="s">
        <v>239</v>
      </c>
      <c r="H240" s="224">
        <f>+C238+X128+Z122</f>
        <v>1.5996875193734519</v>
      </c>
      <c r="I240" s="319">
        <f>+H240*1000*22.4/64/K11</f>
        <v>109.89516896993389</v>
      </c>
      <c r="J240" s="314">
        <f t="shared" si="10"/>
        <v>0.46851564091268444</v>
      </c>
      <c r="L240" s="257">
        <f>+H240</f>
        <v>1.5996875193734519</v>
      </c>
      <c r="M240" s="319">
        <f>+L240*1000*22.4/64/K11</f>
        <v>109.89516896993389</v>
      </c>
      <c r="N240" s="402">
        <f t="shared" si="11"/>
        <v>0.21006307482044359</v>
      </c>
    </row>
    <row r="241" spans="2:21">
      <c r="B241" s="174" t="s">
        <v>245</v>
      </c>
      <c r="C241" s="252">
        <f>+N45*C182/100+I248*L103-(M119+M122+K125+M128+M131)+P13</f>
        <v>3.0335714285714278E-2</v>
      </c>
      <c r="D241" s="319">
        <f>+C241*1000*22.4/32/K11</f>
        <v>4.1679995710136373</v>
      </c>
      <c r="E241" s="244">
        <f t="shared" si="9"/>
        <v>2.4222649728683265E-2</v>
      </c>
      <c r="G241" s="135" t="s">
        <v>150</v>
      </c>
      <c r="H241" s="224">
        <f>+C239+Z131+I250*L110</f>
        <v>24.912355729931615</v>
      </c>
      <c r="I241" s="319">
        <f>+H241*1000*22.4/18/K11</f>
        <v>6085.0718444250542</v>
      </c>
      <c r="J241" s="314">
        <f t="shared" si="10"/>
        <v>25.942462820822669</v>
      </c>
      <c r="L241" s="257">
        <f>+H241+O235/1000*K11+R235</f>
        <v>135.52267314664425</v>
      </c>
      <c r="M241" s="319">
        <f>+L241*1000*22.4/18/K11</f>
        <v>33102.658439283936</v>
      </c>
      <c r="N241" s="402">
        <f t="shared" si="11"/>
        <v>63.275267526904031</v>
      </c>
      <c r="Q241" s="209"/>
      <c r="R241" s="7"/>
      <c r="S241" s="200"/>
      <c r="T241" s="200"/>
      <c r="U241" s="200"/>
    </row>
    <row r="242" spans="2:21">
      <c r="B242" s="136" t="s">
        <v>240</v>
      </c>
      <c r="C242" s="249">
        <f>+J61-K128</f>
        <v>0.14408052915930677</v>
      </c>
      <c r="D242" s="320">
        <f>+C242*1000*22.4/64/K11</f>
        <v>9.8980293997924651</v>
      </c>
      <c r="E242" s="245">
        <f t="shared" si="9"/>
        <v>5.7523158309028891E-2</v>
      </c>
      <c r="G242" s="177" t="s">
        <v>245</v>
      </c>
      <c r="H242" s="249">
        <f>+I248+N45*C182/100-D119-D122-B125-D128-D131+P13</f>
        <v>3.03357142857145E-2</v>
      </c>
      <c r="I242" s="320">
        <f>+H242*1000*22.4/32/K11</f>
        <v>4.1679995710136675</v>
      </c>
      <c r="J242" s="218">
        <f t="shared" si="10"/>
        <v>1.7769416150327042E-2</v>
      </c>
      <c r="L242" s="271">
        <f>+H242+R233-Q239</f>
        <v>1.9350743645655903</v>
      </c>
      <c r="M242" s="320">
        <f>+L242*1000*22.4/32/K11</f>
        <v>265.87108005520167</v>
      </c>
      <c r="N242" s="403">
        <f t="shared" si="11"/>
        <v>0.50820884216946649</v>
      </c>
    </row>
    <row r="243" spans="2:21">
      <c r="C243" s="262">
        <f>+SUM(C235:C242)</f>
        <v>106.27962027628399</v>
      </c>
      <c r="D243" s="321">
        <f>+SUM(D235:D242)</f>
        <v>17207.033985543283</v>
      </c>
      <c r="E243" s="262">
        <f>+SUM(E235:E242)</f>
        <v>99.999999999999986</v>
      </c>
      <c r="H243" s="209">
        <f>SUM(H237:H242)</f>
        <v>155.13573264662651</v>
      </c>
      <c r="I243" s="322">
        <f>SUM(I237:I242)</f>
        <v>23456.02993228878</v>
      </c>
      <c r="J243" s="200">
        <f>SUM(J237:J242)</f>
        <v>100</v>
      </c>
      <c r="M243" s="391">
        <f>SUM(M237:M242)</f>
        <v>52315.319607631849</v>
      </c>
    </row>
    <row r="246" spans="2:21">
      <c r="H246" t="s">
        <v>285</v>
      </c>
      <c r="K246" s="210"/>
      <c r="L246" s="210"/>
    </row>
    <row r="247" spans="2:21">
      <c r="B247" t="s">
        <v>249</v>
      </c>
      <c r="D247" s="630">
        <f>+Principal!Q22</f>
        <v>6500</v>
      </c>
      <c r="E247" t="s">
        <v>236</v>
      </c>
      <c r="F247" s="134">
        <f>+D247*K11</f>
        <v>33116.006287503609</v>
      </c>
      <c r="G247" t="s">
        <v>237</v>
      </c>
      <c r="I247" s="7" t="s">
        <v>229</v>
      </c>
    </row>
    <row r="248" spans="2:21">
      <c r="B248" t="s">
        <v>250</v>
      </c>
      <c r="D248" s="630">
        <f>+Principal!Q24</f>
        <v>1000</v>
      </c>
      <c r="E248" t="s">
        <v>236</v>
      </c>
      <c r="F248" s="134">
        <f>+D248*K11</f>
        <v>5094.7701980774782</v>
      </c>
      <c r="G248" t="s">
        <v>237</v>
      </c>
      <c r="H248" s="152" t="s">
        <v>245</v>
      </c>
      <c r="I248" s="259">
        <f>(0.21*(100-K9)/100*F249)*32/22.4/1000</f>
        <v>11.463232945674326</v>
      </c>
      <c r="K248" t="s">
        <v>286</v>
      </c>
    </row>
    <row r="249" spans="2:21">
      <c r="B249" t="s">
        <v>251</v>
      </c>
      <c r="D249" s="134">
        <f>+D248+D247</f>
        <v>7500</v>
      </c>
      <c r="E249" t="s">
        <v>236</v>
      </c>
      <c r="F249" s="134">
        <f>+F248+F247</f>
        <v>38210.776485581089</v>
      </c>
      <c r="G249" t="s">
        <v>237</v>
      </c>
      <c r="H249" s="135" t="s">
        <v>219</v>
      </c>
      <c r="I249" s="253">
        <f>(0.21*(100-K9)/100*79/21*F249)*28/22.4/1000</f>
        <v>37.733141779511328</v>
      </c>
      <c r="K249" s="317">
        <f>+C236*16/28</f>
        <v>8.993531153660614</v>
      </c>
      <c r="L249" t="s">
        <v>229</v>
      </c>
    </row>
    <row r="250" spans="2:21">
      <c r="H250" s="136" t="s">
        <v>150</v>
      </c>
      <c r="I250" s="268">
        <f>+K9/100*F249*18/22.4/1000</f>
        <v>0</v>
      </c>
    </row>
    <row r="251" spans="2:21">
      <c r="I251" s="262">
        <f>SUM(I248:I250)</f>
        <v>49.196374725185656</v>
      </c>
      <c r="K251" s="210">
        <f>+(H58+H76+H85+H88+F114-D111)*16/28</f>
        <v>8.993531153660614</v>
      </c>
    </row>
    <row r="253" spans="2:21">
      <c r="B253" s="190" t="s">
        <v>305</v>
      </c>
      <c r="D253" s="330">
        <f>+Principal!Q26</f>
        <v>17</v>
      </c>
      <c r="E253" t="s">
        <v>301</v>
      </c>
      <c r="G253" s="701">
        <f>+Factores!D36</f>
        <v>1.25</v>
      </c>
      <c r="H253" t="s">
        <v>302</v>
      </c>
      <c r="I253" s="262"/>
    </row>
    <row r="254" spans="2:21">
      <c r="D254" s="331">
        <f>+D253*1.5</f>
        <v>25.5</v>
      </c>
      <c r="E254" t="s">
        <v>229</v>
      </c>
      <c r="I254" s="262"/>
    </row>
    <row r="255" spans="2:21">
      <c r="D255" s="334"/>
      <c r="I255" s="262"/>
    </row>
    <row r="257" spans="2:166" ht="15.6">
      <c r="B257" s="158" t="s">
        <v>287</v>
      </c>
    </row>
    <row r="260" spans="2:166">
      <c r="B260" s="134"/>
      <c r="C260" s="212" t="s">
        <v>7</v>
      </c>
      <c r="D260" s="212" t="s">
        <v>10</v>
      </c>
      <c r="E260" s="212" t="s">
        <v>93</v>
      </c>
      <c r="F260" s="212" t="s">
        <v>105</v>
      </c>
      <c r="G260" s="212" t="s">
        <v>129</v>
      </c>
      <c r="H260" s="212" t="s">
        <v>131</v>
      </c>
      <c r="I260" s="212" t="s">
        <v>150</v>
      </c>
      <c r="J260" s="212" t="s">
        <v>103</v>
      </c>
      <c r="K260" s="212" t="s">
        <v>158</v>
      </c>
      <c r="L260" s="212" t="s">
        <v>5</v>
      </c>
      <c r="M260" s="212" t="s">
        <v>156</v>
      </c>
      <c r="N260" s="212" t="s">
        <v>111</v>
      </c>
      <c r="O260" s="212" t="s">
        <v>6</v>
      </c>
      <c r="P260" s="212" t="s">
        <v>8</v>
      </c>
      <c r="Q260" s="212" t="s">
        <v>9</v>
      </c>
      <c r="R260" s="213" t="s">
        <v>75</v>
      </c>
    </row>
    <row r="261" spans="2:166">
      <c r="B261" s="183" t="s">
        <v>288</v>
      </c>
      <c r="C261" s="242">
        <f>+G9*118.7/(118.7+16*2)+G10*118.7/(118.7+16)+G11*118.7/(118.7+32)+G12+G13*118.7*2/(118.7*2+55.85)+K25</f>
        <v>53.679139129233413</v>
      </c>
      <c r="D261" s="242">
        <f>+D151+K26</f>
        <v>9.1197949812903598</v>
      </c>
      <c r="E261" s="242">
        <f>+G18+K27+G50</f>
        <v>21.053105058254907</v>
      </c>
      <c r="F261" s="242">
        <f>+G19+K28+G51</f>
        <v>8.4282946074038971</v>
      </c>
      <c r="G261" s="242">
        <f>+G20+G22*0.56+K29</f>
        <v>14.915701137554322</v>
      </c>
      <c r="H261" s="242">
        <f>+G21+G23*(24.3+16)/(24.3+12+16*3)+K30+I36/1000</f>
        <v>0.55952127832600007</v>
      </c>
      <c r="I261" s="242">
        <f>+G37+G52+G32*3*18/30+G46*18/2+I250</f>
        <v>24.912355729931619</v>
      </c>
      <c r="J261" s="242">
        <f>+G36+K31-K25*16/ 118.7-K26*16/ 55.85</f>
        <v>21.652104823511682</v>
      </c>
      <c r="K261" s="242">
        <f>+G34+G48+I249</f>
        <v>75.170119175172061</v>
      </c>
      <c r="L261" s="242">
        <f>+G35+G28*32/(2*63.5+32)+G15*64/(64+55.85)+G11*32/(118.7+32)+G49</f>
        <v>0.79984375968672594</v>
      </c>
      <c r="M261" s="242">
        <f>+G22*12/ 100+G23*12/ 84.3+G31+G32*24/ 30+G45</f>
        <v>14.276484071483221</v>
      </c>
      <c r="N261" s="242">
        <f>+G9*32/(118.7+32)+G10*16/(118.7+16)+G14*16*3/(55.85*2+16*3)+G16*16/ 71.85+G22*32/100+G23*32/84.3+K25*16/118.7+K26*16/55.85+G47+I248+G33</f>
        <v>60.547846958536837</v>
      </c>
      <c r="O261" s="326">
        <f>+G24</f>
        <v>5.5436839508635538E-2</v>
      </c>
      <c r="P261" s="326">
        <f>+G25</f>
        <v>4.0865216234629909E-2</v>
      </c>
      <c r="Q261" s="326">
        <f>+G26</f>
        <v>0.28913561185632924</v>
      </c>
      <c r="R261" s="327">
        <f>+G27+G28*2*63.5/ 159</f>
        <v>0.27529671340409179</v>
      </c>
      <c r="S261" s="251"/>
      <c r="T261" s="251"/>
      <c r="U261" s="251"/>
      <c r="V261" s="251"/>
      <c r="W261" s="251"/>
      <c r="X261" s="251"/>
      <c r="Y261" s="251"/>
      <c r="Z261" s="251"/>
      <c r="AA261" s="251"/>
      <c r="AB261" s="251"/>
      <c r="AC261" s="251"/>
      <c r="AD261" s="251"/>
      <c r="AE261" s="251"/>
      <c r="AF261" s="251"/>
      <c r="AG261" s="251"/>
      <c r="AH261" s="251"/>
      <c r="AI261" s="251"/>
      <c r="AJ261" s="251"/>
      <c r="AK261" s="251"/>
      <c r="AL261" s="251"/>
      <c r="AM261" s="251"/>
      <c r="AN261" s="251"/>
      <c r="AO261" s="251"/>
      <c r="AP261" s="251"/>
      <c r="AQ261" s="251"/>
      <c r="AR261" s="251"/>
      <c r="AS261" s="251"/>
      <c r="AT261" s="251"/>
      <c r="AU261" s="251"/>
      <c r="AV261" s="251"/>
      <c r="AW261" s="251"/>
      <c r="AX261" s="251"/>
      <c r="AY261" s="251"/>
      <c r="AZ261" s="251"/>
      <c r="BA261" s="251"/>
      <c r="BB261" s="251"/>
      <c r="BC261" s="251"/>
      <c r="BD261" s="251"/>
      <c r="BE261" s="251"/>
      <c r="BF261" s="251"/>
      <c r="BG261" s="251"/>
      <c r="BH261" s="251"/>
      <c r="BI261" s="251"/>
      <c r="BJ261" s="251"/>
      <c r="BK261" s="251"/>
      <c r="BL261" s="251"/>
      <c r="BM261" s="251"/>
      <c r="BN261" s="251"/>
      <c r="BO261" s="251"/>
      <c r="BP261" s="251"/>
      <c r="BQ261" s="251"/>
      <c r="BR261" s="251"/>
      <c r="BS261" s="251"/>
      <c r="BT261" s="251"/>
      <c r="BU261" s="251"/>
      <c r="BV261" s="251"/>
      <c r="BW261" s="251"/>
      <c r="BX261" s="251"/>
      <c r="BY261" s="251"/>
      <c r="BZ261" s="251"/>
      <c r="CA261" s="251"/>
      <c r="CB261" s="251"/>
      <c r="CC261" s="251"/>
      <c r="CD261" s="251"/>
      <c r="CE261" s="251"/>
      <c r="CF261" s="251"/>
      <c r="CG261" s="251"/>
      <c r="CH261" s="251"/>
      <c r="CI261" s="251"/>
      <c r="CJ261" s="251"/>
      <c r="CK261" s="251"/>
      <c r="CL261" s="251"/>
      <c r="CM261" s="251"/>
      <c r="CN261" s="251"/>
      <c r="CO261" s="251"/>
      <c r="CP261" s="251"/>
      <c r="CQ261" s="251"/>
      <c r="CR261" s="251"/>
      <c r="CS261" s="251"/>
      <c r="CT261" s="251"/>
      <c r="CU261" s="251"/>
      <c r="CV261" s="251"/>
      <c r="CW261" s="251"/>
      <c r="CX261" s="251"/>
      <c r="CY261" s="251"/>
      <c r="CZ261" s="251"/>
      <c r="DA261" s="251"/>
      <c r="DB261" s="251"/>
      <c r="DC261" s="251"/>
      <c r="DD261" s="251"/>
      <c r="DE261" s="251"/>
      <c r="DF261" s="251"/>
      <c r="DG261" s="251"/>
      <c r="DH261" s="251"/>
      <c r="DI261" s="251"/>
      <c r="DJ261" s="251"/>
      <c r="DK261" s="251"/>
      <c r="DL261" s="251"/>
      <c r="DM261" s="251"/>
      <c r="DN261" s="251"/>
      <c r="DO261" s="251"/>
      <c r="DP261" s="251"/>
      <c r="DQ261" s="251"/>
      <c r="DR261" s="251"/>
      <c r="DS261" s="251"/>
      <c r="DT261" s="251"/>
      <c r="DU261" s="251"/>
      <c r="DV261" s="251"/>
      <c r="DW261" s="251"/>
      <c r="DX261" s="251"/>
      <c r="DY261" s="251"/>
      <c r="DZ261" s="251"/>
      <c r="EA261" s="251"/>
      <c r="EB261" s="251"/>
      <c r="EC261" s="251"/>
      <c r="ED261" s="251"/>
      <c r="EE261" s="251"/>
      <c r="EF261" s="251"/>
      <c r="EG261" s="251"/>
      <c r="EH261" s="251"/>
      <c r="EI261" s="251"/>
      <c r="EJ261" s="251"/>
      <c r="EK261" s="251"/>
      <c r="EL261" s="251"/>
      <c r="EM261" s="251"/>
      <c r="EN261" s="251"/>
      <c r="EO261" s="251"/>
      <c r="EP261" s="251"/>
      <c r="EQ261" s="251"/>
      <c r="ER261" s="251"/>
      <c r="ES261" s="251"/>
      <c r="ET261" s="251"/>
      <c r="EU261" s="251"/>
      <c r="EV261" s="251"/>
      <c r="EW261" s="251"/>
      <c r="EX261" s="251"/>
      <c r="EY261" s="251"/>
      <c r="EZ261" s="251"/>
      <c r="FA261" s="251"/>
      <c r="FB261" s="251"/>
      <c r="FC261" s="251"/>
      <c r="FD261" s="251"/>
      <c r="FE261" s="251"/>
      <c r="FF261" s="251"/>
      <c r="FG261" s="251"/>
      <c r="FH261" s="251"/>
      <c r="FI261" s="251"/>
      <c r="FJ261" s="251"/>
    </row>
    <row r="262" spans="2:166">
      <c r="B262" s="100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36"/>
      <c r="P262" s="236"/>
      <c r="Q262" s="236"/>
      <c r="R262" s="240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/>
      <c r="CQ262" s="7"/>
      <c r="CR262" s="7"/>
      <c r="CS262" s="7"/>
      <c r="CT262" s="7"/>
      <c r="CU262" s="7"/>
      <c r="CV262" s="7"/>
      <c r="CW262" s="7"/>
      <c r="CX262" s="7"/>
      <c r="CY262" s="7"/>
      <c r="CZ262" s="7"/>
      <c r="DA262" s="7"/>
      <c r="DB262" s="7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7"/>
      <c r="DO262" s="7"/>
      <c r="DP262" s="7"/>
      <c r="DQ262" s="7"/>
      <c r="DR262" s="7"/>
      <c r="DS262" s="7"/>
      <c r="DT262" s="7"/>
      <c r="DU262" s="7"/>
      <c r="DV262" s="7"/>
      <c r="DW262" s="7"/>
      <c r="DX262" s="7"/>
      <c r="DY262" s="7"/>
      <c r="DZ262" s="7"/>
      <c r="EA262" s="7"/>
      <c r="EB262" s="7"/>
      <c r="EC262" s="7"/>
      <c r="ED262" s="7"/>
      <c r="EE262" s="7"/>
      <c r="EF262" s="7"/>
      <c r="EG262" s="7"/>
      <c r="EH262" s="7"/>
      <c r="EI262" s="7"/>
      <c r="EJ262" s="7"/>
      <c r="EK262" s="7"/>
      <c r="EL262" s="7"/>
      <c r="EM262" s="7"/>
      <c r="EN262" s="7"/>
      <c r="EO262" s="7"/>
      <c r="EP262" s="7"/>
      <c r="EQ262" s="7"/>
      <c r="ER262" s="7"/>
      <c r="ES262" s="7"/>
      <c r="ET262" s="7"/>
      <c r="EU262" s="7"/>
      <c r="EV262" s="7"/>
      <c r="EW262" s="7"/>
      <c r="EX262" s="7"/>
      <c r="EY262" s="7"/>
      <c r="EZ262" s="7"/>
      <c r="FA262" s="7"/>
      <c r="FB262" s="7"/>
      <c r="FC262" s="7"/>
      <c r="FD262" s="7"/>
      <c r="FE262" s="7"/>
      <c r="FF262" s="7"/>
      <c r="FG262" s="7"/>
      <c r="FH262" s="7"/>
      <c r="FI262" s="7"/>
      <c r="FJ262" s="7"/>
    </row>
    <row r="263" spans="2:166">
      <c r="B263" s="100" t="s">
        <v>289</v>
      </c>
      <c r="C263" s="224">
        <f ca="1">+(C222+C200)*118.7/(118.7+16)+C190+C211+C224*118.7/(118.7+32)+C223*118.7/(118.7+2*16)</f>
        <v>53.364505942547453</v>
      </c>
      <c r="D263" s="224">
        <f>+C212+C191+(C201+C225)*55.85/71.85</f>
        <v>9.118824968894927</v>
      </c>
      <c r="E263" s="224">
        <f>+C202</f>
        <v>21.053105058254907</v>
      </c>
      <c r="F263" s="224">
        <f>+C203</f>
        <v>8.4282946074038971</v>
      </c>
      <c r="G263" s="224">
        <f>+C204</f>
        <v>14.915701137554322</v>
      </c>
      <c r="H263" s="224">
        <f>+C205</f>
        <v>0.55952127832600007</v>
      </c>
      <c r="I263" s="224">
        <f>+H241</f>
        <v>24.912355729931615</v>
      </c>
      <c r="J263" s="224">
        <f>+C196+C206+C217+G229-J205</f>
        <v>21.652104823511678</v>
      </c>
      <c r="K263" s="224">
        <f>+H239</f>
        <v>75.170119175172061</v>
      </c>
      <c r="L263" s="224">
        <f>+H240/2</f>
        <v>0.79984375968672594</v>
      </c>
      <c r="M263" s="224">
        <f>+H237*0.272727272727273+H238*0.428571428571429</f>
        <v>14.884188539026441</v>
      </c>
      <c r="N263" s="224">
        <f>+C200*16/ 134.7+C201*16/ 71.85+G223*32/ 150.7+G224*16/ 71.85+H237*32/ 44+H238*16/ 28+H240/ 2+(H241-G37-G52-I250)*16/ 18+H242</f>
        <v>60.547846958536844</v>
      </c>
      <c r="O263" s="180">
        <f>+C192+C213+G225+J201</f>
        <v>5.5436839508635538E-2</v>
      </c>
      <c r="P263" s="180">
        <f>+C193+C214+C227+J202</f>
        <v>4.0865216234629909E-2</v>
      </c>
      <c r="Q263" s="180">
        <f>+C194+C215+C228+J203</f>
        <v>0.28913561185632924</v>
      </c>
      <c r="R263" s="181">
        <f>+C195+C216+C229+J204</f>
        <v>0.27529671340409179</v>
      </c>
      <c r="S263" s="251"/>
      <c r="T263" s="251"/>
      <c r="U263" s="251"/>
      <c r="V263" s="251"/>
      <c r="W263" s="251"/>
      <c r="X263" s="251"/>
      <c r="Y263" s="251"/>
      <c r="Z263" s="251"/>
      <c r="AA263" s="251"/>
      <c r="AB263" s="251"/>
      <c r="AC263" s="251"/>
      <c r="AD263" s="251"/>
      <c r="AE263" s="251"/>
      <c r="AF263" s="251"/>
      <c r="AG263" s="251"/>
      <c r="AH263" s="251"/>
      <c r="AI263" s="251"/>
      <c r="AJ263" s="251"/>
      <c r="AK263" s="251"/>
      <c r="AL263" s="251"/>
      <c r="AM263" s="251"/>
      <c r="AN263" s="251"/>
      <c r="AO263" s="251"/>
      <c r="AP263" s="251"/>
      <c r="AQ263" s="251"/>
      <c r="AR263" s="251"/>
      <c r="AS263" s="251"/>
      <c r="AT263" s="251"/>
      <c r="AU263" s="251"/>
      <c r="AV263" s="251"/>
      <c r="AW263" s="251"/>
      <c r="AX263" s="251"/>
      <c r="AY263" s="251"/>
      <c r="AZ263" s="251"/>
      <c r="BA263" s="251"/>
      <c r="BB263" s="251"/>
      <c r="BC263" s="251"/>
      <c r="BD263" s="251"/>
      <c r="BE263" s="251"/>
      <c r="BF263" s="251"/>
      <c r="BG263" s="251"/>
      <c r="BH263" s="251"/>
      <c r="BI263" s="251"/>
      <c r="BJ263" s="251"/>
      <c r="BK263" s="251"/>
      <c r="BL263" s="251"/>
      <c r="BM263" s="251"/>
      <c r="BN263" s="251"/>
      <c r="BO263" s="251"/>
      <c r="BP263" s="251"/>
      <c r="BQ263" s="251"/>
      <c r="BR263" s="251"/>
      <c r="BS263" s="251"/>
      <c r="BT263" s="251"/>
      <c r="BU263" s="251"/>
      <c r="BV263" s="251"/>
      <c r="BW263" s="251"/>
      <c r="BX263" s="251"/>
      <c r="BY263" s="251"/>
      <c r="BZ263" s="251"/>
      <c r="CA263" s="251"/>
      <c r="CB263" s="251"/>
      <c r="CC263" s="251"/>
      <c r="CD263" s="251"/>
      <c r="CE263" s="251"/>
      <c r="CF263" s="251"/>
      <c r="CG263" s="251"/>
      <c r="CH263" s="251"/>
      <c r="CI263" s="251"/>
      <c r="CJ263" s="251"/>
      <c r="CK263" s="251"/>
      <c r="CL263" s="251"/>
      <c r="CM263" s="251"/>
      <c r="CN263" s="251"/>
      <c r="CO263" s="251"/>
      <c r="CP263" s="251"/>
      <c r="CQ263" s="251"/>
      <c r="CR263" s="251"/>
      <c r="CS263" s="251"/>
      <c r="CT263" s="251"/>
      <c r="CU263" s="251"/>
      <c r="CV263" s="251"/>
      <c r="CW263" s="251"/>
      <c r="CX263" s="251"/>
      <c r="CY263" s="251"/>
      <c r="CZ263" s="251"/>
      <c r="DA263" s="251"/>
      <c r="DB263" s="251"/>
      <c r="DC263" s="251"/>
      <c r="DD263" s="251"/>
      <c r="DE263" s="251"/>
      <c r="DF263" s="251"/>
      <c r="DG263" s="251"/>
      <c r="DH263" s="251"/>
      <c r="DI263" s="251"/>
      <c r="DJ263" s="251"/>
      <c r="DK263" s="251"/>
      <c r="DL263" s="251"/>
      <c r="DM263" s="251"/>
      <c r="DN263" s="251"/>
      <c r="DO263" s="251"/>
      <c r="DP263" s="251"/>
      <c r="DQ263" s="251"/>
      <c r="DR263" s="251"/>
      <c r="DS263" s="251"/>
      <c r="DT263" s="251"/>
      <c r="DU263" s="251"/>
      <c r="DV263" s="251"/>
      <c r="DW263" s="251"/>
      <c r="DX263" s="251"/>
      <c r="DY263" s="251"/>
      <c r="DZ263" s="251"/>
      <c r="EA263" s="251"/>
      <c r="EB263" s="251"/>
      <c r="EC263" s="251"/>
      <c r="ED263" s="251"/>
      <c r="EE263" s="251"/>
      <c r="EF263" s="251"/>
      <c r="EG263" s="251"/>
      <c r="EH263" s="251"/>
      <c r="EI263" s="251"/>
      <c r="EJ263" s="251"/>
      <c r="EK263" s="251"/>
      <c r="EL263" s="251"/>
      <c r="EM263" s="251"/>
      <c r="EN263" s="251"/>
      <c r="EO263" s="251"/>
      <c r="EP263" s="251"/>
      <c r="EQ263" s="251"/>
      <c r="ER263" s="251"/>
      <c r="ES263" s="251"/>
      <c r="ET263" s="251"/>
      <c r="EU263" s="251"/>
      <c r="EV263" s="251"/>
      <c r="EW263" s="251"/>
      <c r="EX263" s="251"/>
      <c r="EY263" s="251"/>
      <c r="EZ263" s="251"/>
      <c r="FA263" s="251"/>
      <c r="FB263" s="251"/>
      <c r="FC263" s="251"/>
      <c r="FD263" s="251"/>
      <c r="FE263" s="251"/>
      <c r="FF263" s="251"/>
      <c r="FG263" s="251"/>
      <c r="FH263" s="251"/>
      <c r="FI263" s="251"/>
      <c r="FJ263" s="251"/>
    </row>
    <row r="264" spans="2:166">
      <c r="B264" s="100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36"/>
      <c r="P264" s="236"/>
      <c r="Q264" s="236"/>
      <c r="R264" s="240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/>
      <c r="CQ264" s="7"/>
      <c r="CR264" s="7"/>
      <c r="CS264" s="7"/>
      <c r="CT264" s="7"/>
      <c r="CU264" s="7"/>
      <c r="CV264" s="7"/>
      <c r="CW264" s="7"/>
      <c r="CX264" s="7"/>
      <c r="CY264" s="7"/>
      <c r="CZ264" s="7"/>
      <c r="DA264" s="7"/>
      <c r="DB264" s="7"/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7"/>
      <c r="DO264" s="7"/>
      <c r="DP264" s="7"/>
      <c r="DQ264" s="7"/>
      <c r="DR264" s="7"/>
      <c r="DS264" s="7"/>
      <c r="DT264" s="7"/>
      <c r="DU264" s="7"/>
      <c r="DV264" s="7"/>
      <c r="DW264" s="7"/>
      <c r="DX264" s="7"/>
      <c r="DY264" s="7"/>
      <c r="DZ264" s="7"/>
      <c r="EA264" s="7"/>
      <c r="EB264" s="7"/>
      <c r="EC264" s="7"/>
      <c r="ED264" s="7"/>
      <c r="EE264" s="7"/>
      <c r="EF264" s="7"/>
      <c r="EG264" s="7"/>
      <c r="EH264" s="7"/>
      <c r="EI264" s="7"/>
      <c r="EJ264" s="7"/>
      <c r="EK264" s="7"/>
      <c r="EL264" s="7"/>
      <c r="EM264" s="7"/>
      <c r="EN264" s="7"/>
      <c r="EO264" s="7"/>
      <c r="EP264" s="7"/>
      <c r="EQ264" s="7"/>
      <c r="ER264" s="7"/>
      <c r="ES264" s="7"/>
      <c r="ET264" s="7"/>
      <c r="EU264" s="7"/>
      <c r="EV264" s="7"/>
      <c r="EW264" s="7"/>
      <c r="EX264" s="7"/>
      <c r="EY264" s="7"/>
      <c r="EZ264" s="7"/>
      <c r="FA264" s="7"/>
      <c r="FB264" s="7"/>
      <c r="FC264" s="7"/>
      <c r="FD264" s="7"/>
      <c r="FE264" s="7"/>
      <c r="FF264" s="7"/>
      <c r="FG264" s="7"/>
      <c r="FH264" s="7"/>
      <c r="FI264" s="7"/>
      <c r="FJ264" s="7"/>
    </row>
    <row r="265" spans="2:166">
      <c r="B265" s="231" t="s">
        <v>290</v>
      </c>
      <c r="C265" s="172">
        <f ca="1">+C263-C261</f>
        <v>0</v>
      </c>
      <c r="D265" s="172">
        <f>+D263-D261</f>
        <v>-9.700123954328177E-4</v>
      </c>
      <c r="E265" s="172">
        <f t="shared" ref="E265:R265" si="12">+E263-E261</f>
        <v>0</v>
      </c>
      <c r="F265" s="172">
        <f t="shared" si="12"/>
        <v>0</v>
      </c>
      <c r="G265" s="172">
        <f t="shared" si="12"/>
        <v>0</v>
      </c>
      <c r="H265" s="172">
        <f t="shared" si="12"/>
        <v>0</v>
      </c>
      <c r="I265" s="172">
        <f t="shared" si="12"/>
        <v>0</v>
      </c>
      <c r="J265" s="172">
        <f t="shared" si="12"/>
        <v>0</v>
      </c>
      <c r="K265" s="172">
        <f t="shared" si="12"/>
        <v>0</v>
      </c>
      <c r="L265" s="172">
        <f t="shared" si="12"/>
        <v>0</v>
      </c>
      <c r="M265" s="172">
        <f t="shared" si="12"/>
        <v>0.60770446754322016</v>
      </c>
      <c r="N265" s="172">
        <f t="shared" si="12"/>
        <v>0</v>
      </c>
      <c r="O265" s="328">
        <f t="shared" si="12"/>
        <v>0</v>
      </c>
      <c r="P265" s="328">
        <f t="shared" si="12"/>
        <v>0</v>
      </c>
      <c r="Q265" s="328">
        <f t="shared" si="12"/>
        <v>0</v>
      </c>
      <c r="R265" s="329">
        <f t="shared" si="12"/>
        <v>0</v>
      </c>
      <c r="S265" s="251"/>
      <c r="T265" s="251"/>
      <c r="U265" s="251"/>
      <c r="V265" s="251"/>
      <c r="W265" s="251"/>
      <c r="X265" s="251"/>
      <c r="Y265" s="251"/>
      <c r="Z265" s="251"/>
      <c r="AA265" s="251"/>
      <c r="AB265" s="251"/>
      <c r="AC265" s="251"/>
      <c r="AD265" s="251"/>
      <c r="AE265" s="251"/>
      <c r="AF265" s="251"/>
      <c r="AG265" s="251"/>
      <c r="AH265" s="251"/>
      <c r="AI265" s="251"/>
      <c r="AJ265" s="251"/>
      <c r="AK265" s="251"/>
      <c r="AL265" s="251"/>
      <c r="AM265" s="251"/>
      <c r="AN265" s="251"/>
      <c r="AO265" s="251"/>
      <c r="AP265" s="251"/>
      <c r="AQ265" s="251"/>
      <c r="AR265" s="251"/>
      <c r="AS265" s="251"/>
      <c r="AT265" s="251"/>
      <c r="AU265" s="251"/>
      <c r="AV265" s="251"/>
      <c r="AW265" s="251"/>
      <c r="AX265" s="251"/>
      <c r="AY265" s="251"/>
      <c r="AZ265" s="251"/>
      <c r="BA265" s="251"/>
      <c r="BB265" s="251"/>
      <c r="BC265" s="251"/>
      <c r="BD265" s="251"/>
      <c r="BE265" s="251"/>
      <c r="BF265" s="251"/>
      <c r="BG265" s="251"/>
      <c r="BH265" s="251"/>
      <c r="BI265" s="251"/>
      <c r="BJ265" s="251"/>
      <c r="BK265" s="251"/>
      <c r="BL265" s="251"/>
      <c r="BM265" s="251"/>
      <c r="BN265" s="251"/>
      <c r="BO265" s="251"/>
      <c r="BP265" s="251"/>
      <c r="BQ265" s="251"/>
      <c r="BR265" s="251"/>
      <c r="BS265" s="251"/>
      <c r="BT265" s="251"/>
      <c r="BU265" s="251"/>
      <c r="BV265" s="251"/>
      <c r="BW265" s="251"/>
      <c r="BX265" s="251"/>
      <c r="BY265" s="251"/>
      <c r="BZ265" s="251"/>
      <c r="CA265" s="251"/>
      <c r="CB265" s="251"/>
      <c r="CC265" s="251"/>
      <c r="CD265" s="251"/>
      <c r="CE265" s="251"/>
      <c r="CF265" s="251"/>
      <c r="CG265" s="251"/>
      <c r="CH265" s="251"/>
      <c r="CI265" s="251"/>
      <c r="CJ265" s="251"/>
      <c r="CK265" s="251"/>
      <c r="CL265" s="251"/>
      <c r="CM265" s="251"/>
      <c r="CN265" s="251"/>
      <c r="CO265" s="251"/>
      <c r="CP265" s="251"/>
      <c r="CQ265" s="251"/>
      <c r="CR265" s="251"/>
      <c r="CS265" s="251"/>
      <c r="CT265" s="251"/>
      <c r="CU265" s="251"/>
      <c r="CV265" s="251"/>
      <c r="CW265" s="251"/>
      <c r="CX265" s="251"/>
      <c r="CY265" s="251"/>
      <c r="CZ265" s="251"/>
      <c r="DA265" s="251"/>
      <c r="DB265" s="251"/>
      <c r="DC265" s="251"/>
      <c r="DD265" s="251"/>
      <c r="DE265" s="251"/>
      <c r="DF265" s="251"/>
      <c r="DG265" s="251"/>
      <c r="DH265" s="251"/>
      <c r="DI265" s="251"/>
      <c r="DJ265" s="251"/>
      <c r="DK265" s="251"/>
      <c r="DL265" s="251"/>
      <c r="DM265" s="251"/>
      <c r="DN265" s="251"/>
      <c r="DO265" s="251"/>
      <c r="DP265" s="251"/>
      <c r="DQ265" s="251"/>
      <c r="DR265" s="251"/>
      <c r="DS265" s="251"/>
      <c r="DT265" s="251"/>
      <c r="DU265" s="251"/>
      <c r="DV265" s="251"/>
      <c r="DW265" s="251"/>
      <c r="DX265" s="251"/>
      <c r="DY265" s="251"/>
      <c r="DZ265" s="251"/>
      <c r="EA265" s="251"/>
      <c r="EB265" s="251"/>
      <c r="EC265" s="251"/>
      <c r="ED265" s="251"/>
      <c r="EE265" s="251"/>
      <c r="EF265" s="251"/>
      <c r="EG265" s="251"/>
      <c r="EH265" s="251"/>
      <c r="EI265" s="251"/>
      <c r="EJ265" s="251"/>
      <c r="EK265" s="251"/>
      <c r="EL265" s="251"/>
      <c r="EM265" s="251"/>
      <c r="EN265" s="251"/>
      <c r="EO265" s="251"/>
      <c r="EP265" s="251"/>
      <c r="EQ265" s="251"/>
      <c r="ER265" s="251"/>
      <c r="ES265" s="251"/>
      <c r="ET265" s="251"/>
      <c r="EU265" s="251"/>
      <c r="EV265" s="251"/>
      <c r="EW265" s="251"/>
      <c r="EX265" s="251"/>
      <c r="EY265" s="251"/>
      <c r="EZ265" s="251"/>
      <c r="FA265" s="251"/>
      <c r="FB265" s="251"/>
      <c r="FC265" s="251"/>
      <c r="FD265" s="251"/>
      <c r="FE265" s="251"/>
      <c r="FF265" s="251"/>
      <c r="FG265" s="251"/>
      <c r="FH265" s="251"/>
      <c r="FI265" s="251"/>
      <c r="FJ265" s="251"/>
    </row>
    <row r="266" spans="2:166">
      <c r="F266" s="7"/>
      <c r="G266" s="7"/>
      <c r="K266" s="251"/>
      <c r="L266" s="251"/>
      <c r="M266" s="251"/>
      <c r="N266" s="251"/>
      <c r="O266" s="251"/>
      <c r="P266" s="251"/>
      <c r="Q266" s="251"/>
      <c r="R266" s="251"/>
      <c r="S266" s="251"/>
      <c r="T266" s="251"/>
      <c r="U266" s="251"/>
      <c r="V266" s="251"/>
      <c r="W266" s="251"/>
      <c r="X266" s="251"/>
      <c r="Y266" s="251"/>
      <c r="Z266" s="251"/>
      <c r="AA266" s="251"/>
      <c r="AB266" s="251"/>
      <c r="AC266" s="251"/>
      <c r="AD266" s="251"/>
      <c r="AE266" s="251"/>
      <c r="AF266" s="251"/>
      <c r="AG266" s="251"/>
      <c r="AH266" s="251"/>
      <c r="AI266" s="251"/>
      <c r="AJ266" s="251"/>
      <c r="AK266" s="251"/>
      <c r="AL266" s="251"/>
      <c r="AM266" s="251"/>
      <c r="AN266" s="251"/>
      <c r="AO266" s="251"/>
      <c r="AP266" s="251"/>
      <c r="AQ266" s="251"/>
      <c r="AR266" s="251"/>
      <c r="AS266" s="251"/>
      <c r="AT266" s="251"/>
      <c r="AU266" s="251"/>
      <c r="AV266" s="251"/>
      <c r="AW266" s="251"/>
      <c r="AX266" s="251"/>
      <c r="AY266" s="251"/>
      <c r="AZ266" s="251"/>
      <c r="BA266" s="251"/>
      <c r="BB266" s="251"/>
      <c r="BC266" s="251"/>
      <c r="BD266" s="251"/>
      <c r="BE266" s="251"/>
      <c r="BF266" s="251"/>
      <c r="BG266" s="251"/>
      <c r="BH266" s="251"/>
      <c r="BI266" s="251"/>
      <c r="BJ266" s="251"/>
      <c r="BK266" s="251"/>
      <c r="BL266" s="251"/>
      <c r="BM266" s="251"/>
      <c r="BN266" s="251"/>
      <c r="BO266" s="251"/>
      <c r="BP266" s="251"/>
      <c r="BQ266" s="251"/>
      <c r="BR266" s="251"/>
      <c r="BS266" s="251"/>
      <c r="BT266" s="251"/>
      <c r="BU266" s="251"/>
      <c r="BV266" s="251"/>
      <c r="BW266" s="251"/>
      <c r="BX266" s="251"/>
      <c r="BY266" s="251"/>
      <c r="BZ266" s="251"/>
      <c r="CA266" s="251"/>
      <c r="CB266" s="251"/>
      <c r="CC266" s="251"/>
      <c r="CD266" s="251"/>
      <c r="CE266" s="251"/>
      <c r="CF266" s="251"/>
      <c r="CG266" s="251"/>
      <c r="CH266" s="251"/>
      <c r="CI266" s="251"/>
      <c r="CJ266" s="251"/>
      <c r="CK266" s="251"/>
      <c r="CL266" s="251"/>
      <c r="CM266" s="251"/>
      <c r="CN266" s="251"/>
      <c r="CO266" s="251"/>
      <c r="CP266" s="251"/>
      <c r="CQ266" s="251"/>
      <c r="CR266" s="251"/>
      <c r="CS266" s="251"/>
      <c r="CT266" s="251"/>
      <c r="CU266" s="251"/>
      <c r="CV266" s="251"/>
      <c r="CW266" s="251"/>
      <c r="CX266" s="251"/>
      <c r="CY266" s="251"/>
      <c r="CZ266" s="251"/>
      <c r="DA266" s="251"/>
      <c r="DB266" s="251"/>
      <c r="DC266" s="251"/>
      <c r="DD266" s="251"/>
      <c r="DE266" s="251"/>
      <c r="DF266" s="251"/>
      <c r="DG266" s="251"/>
      <c r="DH266" s="251"/>
      <c r="DI266" s="251"/>
      <c r="DJ266" s="251"/>
      <c r="DK266" s="251"/>
      <c r="DL266" s="251"/>
      <c r="DM266" s="251"/>
      <c r="DN266" s="251"/>
      <c r="DO266" s="251"/>
      <c r="DP266" s="251"/>
      <c r="DQ266" s="251"/>
      <c r="DR266" s="251"/>
      <c r="DS266" s="251"/>
      <c r="DT266" s="251"/>
      <c r="DU266" s="251"/>
      <c r="DV266" s="251"/>
      <c r="DW266" s="251"/>
      <c r="DX266" s="251"/>
      <c r="DY266" s="251"/>
      <c r="DZ266" s="251"/>
      <c r="EA266" s="251"/>
      <c r="EB266" s="251"/>
      <c r="EC266" s="251"/>
      <c r="ED266" s="251"/>
      <c r="EE266" s="251"/>
      <c r="EF266" s="251"/>
      <c r="EG266" s="251"/>
      <c r="EH266" s="251"/>
      <c r="EI266" s="251"/>
      <c r="EJ266" s="251"/>
      <c r="EK266" s="251"/>
      <c r="EL266" s="251"/>
      <c r="EM266" s="251"/>
      <c r="EN266" s="251"/>
      <c r="EO266" s="251"/>
      <c r="EP266" s="251"/>
      <c r="EQ266" s="251"/>
      <c r="ER266" s="251"/>
      <c r="ES266" s="251"/>
      <c r="ET266" s="251"/>
      <c r="EU266" s="251"/>
      <c r="EV266" s="251"/>
      <c r="EW266" s="251"/>
      <c r="EX266" s="251"/>
      <c r="EY266" s="251"/>
      <c r="EZ266" s="251"/>
      <c r="FA266" s="251"/>
      <c r="FB266" s="251"/>
      <c r="FC266" s="251"/>
      <c r="FD266" s="251"/>
      <c r="FE266" s="251"/>
      <c r="FF266" s="251"/>
      <c r="FG266" s="251"/>
      <c r="FH266" s="251"/>
      <c r="FI266" s="251"/>
      <c r="FJ266" s="251"/>
    </row>
    <row r="268" spans="2:166">
      <c r="F268" s="7"/>
      <c r="G268" s="7"/>
    </row>
  </sheetData>
  <phoneticPr fontId="10" type="noConversion"/>
  <pageMargins left="0.75" right="0.75" top="1" bottom="1" header="0" footer="0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48D6E-F3FD-4249-A4B6-4EEC08605D32}">
  <sheetPr codeName="Hoja7"/>
  <dimension ref="A1:FJ259"/>
  <sheetViews>
    <sheetView topLeftCell="A149" workbookViewId="0">
      <selection activeCell="K172" sqref="K172"/>
    </sheetView>
  </sheetViews>
  <sheetFormatPr baseColWidth="10" defaultRowHeight="13.2"/>
  <cols>
    <col min="1" max="1" width="3.88671875" customWidth="1"/>
    <col min="2" max="2" width="13.109375" customWidth="1"/>
    <col min="3" max="3" width="12.109375" customWidth="1"/>
    <col min="4" max="4" width="11.5546875" bestFit="1" customWidth="1"/>
    <col min="5" max="5" width="11.33203125" customWidth="1"/>
    <col min="6" max="6" width="12.88671875" customWidth="1"/>
    <col min="7" max="7" width="11.33203125" customWidth="1"/>
    <col min="10" max="10" width="11.88671875" customWidth="1"/>
    <col min="11" max="12" width="11.33203125" customWidth="1"/>
    <col min="17" max="17" width="12.5546875" customWidth="1"/>
    <col min="18" max="18" width="13.109375" customWidth="1"/>
    <col min="20" max="20" width="12.5546875" bestFit="1" customWidth="1"/>
    <col min="22" max="22" width="11.88671875" customWidth="1"/>
    <col min="23" max="23" width="12.5546875" bestFit="1" customWidth="1"/>
    <col min="24" max="24" width="11.5546875" bestFit="1" customWidth="1"/>
  </cols>
  <sheetData>
    <row r="1" spans="1:36" ht="17.399999999999999">
      <c r="A1" s="274" t="s">
        <v>300</v>
      </c>
      <c r="I1" t="s">
        <v>536</v>
      </c>
    </row>
    <row r="2" spans="1:36">
      <c r="A2" s="190"/>
    </row>
    <row r="3" spans="1:36" ht="15.6">
      <c r="A3" s="158" t="s">
        <v>253</v>
      </c>
      <c r="J3" s="287" t="s">
        <v>265</v>
      </c>
      <c r="W3" s="210"/>
      <c r="AG3" t="s">
        <v>169</v>
      </c>
    </row>
    <row r="4" spans="1:36">
      <c r="W4" s="267"/>
      <c r="AG4" s="207" t="s">
        <v>165</v>
      </c>
    </row>
    <row r="5" spans="1:36">
      <c r="A5" s="152"/>
      <c r="B5" s="183"/>
      <c r="C5" s="188" t="s">
        <v>209</v>
      </c>
      <c r="D5" s="189" t="s">
        <v>211</v>
      </c>
      <c r="E5" s="189" t="s">
        <v>152</v>
      </c>
      <c r="F5" s="189" t="s">
        <v>153</v>
      </c>
      <c r="G5" s="201" t="s">
        <v>224</v>
      </c>
      <c r="H5" s="273" t="s">
        <v>12</v>
      </c>
      <c r="J5" s="286" t="s">
        <v>225</v>
      </c>
      <c r="L5" s="618">
        <f>+Principal!Q59*Carga!O50/22.4</f>
        <v>1090.3083034722354</v>
      </c>
      <c r="M5" t="s">
        <v>259</v>
      </c>
      <c r="W5" s="267"/>
      <c r="AG5" s="207" t="s">
        <v>166</v>
      </c>
    </row>
    <row r="6" spans="1:36">
      <c r="A6" s="135"/>
      <c r="B6" s="100"/>
      <c r="C6" s="155" t="s">
        <v>151</v>
      </c>
      <c r="D6" s="186" t="s">
        <v>151</v>
      </c>
      <c r="E6" s="186" t="s">
        <v>151</v>
      </c>
      <c r="F6" s="186" t="s">
        <v>151</v>
      </c>
      <c r="G6" s="176" t="s">
        <v>151</v>
      </c>
      <c r="H6" s="272" t="s">
        <v>151</v>
      </c>
      <c r="J6" s="266" t="s">
        <v>261</v>
      </c>
      <c r="L6" s="294">
        <f>+Principal!Q61</f>
        <v>31.176643401541412</v>
      </c>
      <c r="M6" t="s">
        <v>212</v>
      </c>
      <c r="AG6" s="175" t="s">
        <v>167</v>
      </c>
    </row>
    <row r="7" spans="1:36">
      <c r="B7" s="183" t="s">
        <v>254</v>
      </c>
      <c r="C7" s="284">
        <f ca="1">+'Bal Mat Fus'!C197-'Bal Mat Fus'!D254</f>
        <v>1.1331808009472866</v>
      </c>
      <c r="D7" s="285">
        <f>+'Bal Mat Fus'!C207</f>
        <v>94.282982686051298</v>
      </c>
      <c r="E7" s="335">
        <v>0</v>
      </c>
      <c r="F7" s="335">
        <v>0</v>
      </c>
      <c r="G7" s="311">
        <f>+macro!G25</f>
        <v>1.8354764945783273</v>
      </c>
      <c r="H7" s="183"/>
      <c r="J7" s="266" t="s">
        <v>262</v>
      </c>
      <c r="L7" s="294">
        <f>+Factores!D3</f>
        <v>0</v>
      </c>
      <c r="M7" t="s">
        <v>268</v>
      </c>
      <c r="AG7" s="175" t="s">
        <v>174</v>
      </c>
      <c r="AJ7" t="s">
        <v>175</v>
      </c>
    </row>
    <row r="8" spans="1:36">
      <c r="A8" s="135"/>
      <c r="B8" s="260" t="s">
        <v>228</v>
      </c>
      <c r="C8" s="216">
        <f ca="1">+C7</f>
        <v>1.1331808009472866</v>
      </c>
      <c r="D8" s="217">
        <f>+D7</f>
        <v>94.282982686051298</v>
      </c>
      <c r="E8" s="336">
        <v>0</v>
      </c>
      <c r="F8" s="336">
        <v>0</v>
      </c>
      <c r="G8" s="218">
        <f>+G7*(1-Carga!O46/100)</f>
        <v>1.7437026698494109</v>
      </c>
      <c r="H8" s="270"/>
      <c r="J8" s="266" t="s">
        <v>263</v>
      </c>
      <c r="L8" s="294">
        <f>+Principal!Q63</f>
        <v>86.5</v>
      </c>
      <c r="M8" t="s">
        <v>212</v>
      </c>
      <c r="AG8" s="175" t="s">
        <v>176</v>
      </c>
    </row>
    <row r="9" spans="1:36">
      <c r="A9" s="153">
        <v>1</v>
      </c>
      <c r="B9" s="187" t="s">
        <v>104</v>
      </c>
      <c r="C9" s="239"/>
      <c r="D9" s="180"/>
      <c r="E9" s="180"/>
      <c r="F9" s="180">
        <f>$F$8*SUMPRODUCT(Carga!$AF$19:$AF$31,'Analisis Otros'!Q18:Q30)/Carga!$E$43/100</f>
        <v>0</v>
      </c>
      <c r="G9" s="240"/>
      <c r="H9" s="235">
        <f t="shared" ref="H9:H37" si="0">+SUM(C9:G9)</f>
        <v>0</v>
      </c>
      <c r="J9" s="266" t="s">
        <v>266</v>
      </c>
      <c r="L9" s="294">
        <f>+Factores!D4</f>
        <v>0</v>
      </c>
      <c r="M9" t="s">
        <v>212</v>
      </c>
    </row>
    <row r="10" spans="1:36">
      <c r="A10" s="159">
        <v>2</v>
      </c>
      <c r="B10" s="187" t="s">
        <v>136</v>
      </c>
      <c r="C10" s="239"/>
      <c r="D10" s="180">
        <f>+D8*'Bal Mat Fus'!D200/100</f>
        <v>22.039906214671497</v>
      </c>
      <c r="E10" s="180"/>
      <c r="F10" s="180">
        <f>$F$8*SUMPRODUCT(Carga!$AF$19:$AF$31,'Analisis Otros'!R18:R30)/Carga!$E$43/100</f>
        <v>0</v>
      </c>
      <c r="G10" s="240"/>
      <c r="H10" s="235">
        <f t="shared" si="0"/>
        <v>22.039906214671497</v>
      </c>
      <c r="J10" s="266" t="s">
        <v>267</v>
      </c>
      <c r="L10" s="294">
        <f>+Factores!D5</f>
        <v>98</v>
      </c>
      <c r="M10" t="s">
        <v>212</v>
      </c>
      <c r="AG10" s="175" t="s">
        <v>168</v>
      </c>
      <c r="AI10">
        <v>1150</v>
      </c>
    </row>
    <row r="11" spans="1:36">
      <c r="A11" s="159">
        <v>3</v>
      </c>
      <c r="B11" s="187" t="s">
        <v>133</v>
      </c>
      <c r="C11" s="239"/>
      <c r="D11" s="180"/>
      <c r="E11" s="180"/>
      <c r="F11" s="180">
        <f>$F$8*SUMPRODUCT(Carga!$AF$19:$AF$31,'Analisis Otros'!S18:S30)/Carga!$E$43/100</f>
        <v>0</v>
      </c>
      <c r="G11" s="240"/>
      <c r="H11" s="235">
        <f t="shared" si="0"/>
        <v>0</v>
      </c>
      <c r="J11" s="266" t="s">
        <v>303</v>
      </c>
      <c r="L11" s="337">
        <f>+Principal!Q65</f>
        <v>1.45</v>
      </c>
      <c r="M11" t="s">
        <v>260</v>
      </c>
      <c r="AG11" s="175" t="s">
        <v>192</v>
      </c>
    </row>
    <row r="12" spans="1:36">
      <c r="A12" s="159">
        <v>4</v>
      </c>
      <c r="B12" s="187" t="s">
        <v>7</v>
      </c>
      <c r="C12" s="239">
        <f ca="1">+C8*'Bal Mat Fus'!D190/100</f>
        <v>1.1013744451156657</v>
      </c>
      <c r="D12" s="180"/>
      <c r="E12" s="180"/>
      <c r="F12" s="180">
        <f>$F$8*SUMPRODUCT(Carga!$AF$19:$AF$31,'Analisis Otros'!P18:P30)/Carga!$E$43/100</f>
        <v>0</v>
      </c>
      <c r="G12" s="240"/>
      <c r="H12" s="235">
        <f t="shared" ca="1" si="0"/>
        <v>1.1013744451156657</v>
      </c>
      <c r="AG12" s="175" t="s">
        <v>170</v>
      </c>
    </row>
    <row r="13" spans="1:36">
      <c r="A13" s="159">
        <v>5</v>
      </c>
      <c r="B13" s="187" t="s">
        <v>208</v>
      </c>
      <c r="C13" s="239"/>
      <c r="D13" s="180"/>
      <c r="E13" s="180"/>
      <c r="F13" s="180">
        <f>$F$8*SUMPRODUCT(Carga!$AF$19:$AF$31,'Analisis Otros'!T18:T30)/Carga!$E$43/100</f>
        <v>0</v>
      </c>
      <c r="G13" s="240"/>
      <c r="H13" s="235">
        <f t="shared" si="0"/>
        <v>0</v>
      </c>
      <c r="AG13" s="175" t="s">
        <v>171</v>
      </c>
    </row>
    <row r="14" spans="1:36">
      <c r="A14" s="159">
        <v>6</v>
      </c>
      <c r="B14" s="187" t="s">
        <v>132</v>
      </c>
      <c r="C14" s="239"/>
      <c r="D14" s="180"/>
      <c r="E14" s="180">
        <f>E8*SUMPRODUCT(Carga!$C$8:$C$13,'Analisis Otros'!L6:L11)/Carga!$C$15/100</f>
        <v>0</v>
      </c>
      <c r="F14" s="180">
        <f>$F$8*SUMPRODUCT(Carga!$AF$19:$AF$31,'Analisis Otros'!U18:U30)/Carga!$E$43/100</f>
        <v>0</v>
      </c>
      <c r="G14" s="181">
        <f>+G8*Carga!M47/100*Factores!C56/100</f>
        <v>8.1605284948952403E-2</v>
      </c>
      <c r="H14" s="235">
        <f t="shared" si="0"/>
        <v>8.1605284948952403E-2</v>
      </c>
      <c r="AG14" s="175" t="s">
        <v>172</v>
      </c>
    </row>
    <row r="15" spans="1:36">
      <c r="A15" s="159">
        <v>7</v>
      </c>
      <c r="B15" s="187" t="s">
        <v>106</v>
      </c>
      <c r="C15" s="239"/>
      <c r="D15" s="180"/>
      <c r="E15" s="180"/>
      <c r="F15" s="180">
        <f>$F$8*SUMPRODUCT(Carga!$AF$19:$AF$31,'Analisis Otros'!W18:W30)/Carga!$E$43/100</f>
        <v>0</v>
      </c>
      <c r="G15" s="240"/>
      <c r="H15" s="235">
        <f t="shared" si="0"/>
        <v>0</v>
      </c>
      <c r="J15" s="266" t="s">
        <v>258</v>
      </c>
      <c r="M15" s="157">
        <f>+'Bal Mat Fus'!L15</f>
        <v>12.877891991873613</v>
      </c>
      <c r="N15" t="s">
        <v>269</v>
      </c>
      <c r="AG15" s="175" t="s">
        <v>173</v>
      </c>
    </row>
    <row r="16" spans="1:36">
      <c r="A16" s="159">
        <v>8</v>
      </c>
      <c r="B16" s="187" t="s">
        <v>134</v>
      </c>
      <c r="C16" s="239"/>
      <c r="D16" s="180">
        <f>+D8*'Bal Mat Fus'!D201/100</f>
        <v>10.62842344400727</v>
      </c>
      <c r="E16" s="180"/>
      <c r="F16" s="180">
        <f>$F$8*SUMPRODUCT(Carga!$AF$19:$AF$31,'Analisis Otros'!V18:V30)/Carga!$E$43/100</f>
        <v>0</v>
      </c>
      <c r="G16" s="240"/>
      <c r="H16" s="235">
        <f t="shared" si="0"/>
        <v>10.62842344400727</v>
      </c>
      <c r="AG16" s="175" t="s">
        <v>177</v>
      </c>
    </row>
    <row r="17" spans="1:34">
      <c r="A17" s="159">
        <v>9</v>
      </c>
      <c r="B17" s="187" t="s">
        <v>10</v>
      </c>
      <c r="C17" s="239">
        <f ca="1">+C8*'Bal Mat Fus'!D191/100</f>
        <v>1.4336407285893592E-2</v>
      </c>
      <c r="D17" s="180"/>
      <c r="E17" s="180"/>
      <c r="F17" s="180">
        <f>$F$8*SUMPRODUCT(Carga!$AF$19:$AF$31,'Analisis Otros'!X18:X30)/Carga!$E$43/100</f>
        <v>0</v>
      </c>
      <c r="G17" s="240"/>
      <c r="H17" s="235">
        <f t="shared" ca="1" si="0"/>
        <v>1.4336407285893592E-2</v>
      </c>
      <c r="AG17" s="175" t="s">
        <v>178</v>
      </c>
    </row>
    <row r="18" spans="1:34">
      <c r="A18" s="159">
        <v>10</v>
      </c>
      <c r="B18" s="187" t="s">
        <v>93</v>
      </c>
      <c r="C18" s="239"/>
      <c r="D18" s="180">
        <f>+D8*'Bal Mat Fus'!D202/100</f>
        <v>21.053105058254904</v>
      </c>
      <c r="E18" s="180">
        <f>E8*SUMPRODUCT(Carga!$C$8:$C$13,'Analisis Otros'!J6:J11)/Carga!$C$15/100</f>
        <v>0</v>
      </c>
      <c r="F18" s="180">
        <f>$F$8*SUMPRODUCT(Carga!$AF$19:$AF$31,'Analisis Otros'!Y18:Y30)/Carga!$E$43/100</f>
        <v>0</v>
      </c>
      <c r="G18" s="181">
        <f>+G8*Carga!M47/100*Factores!C54/100</f>
        <v>0.10880704659860321</v>
      </c>
      <c r="H18" s="235">
        <f t="shared" si="0"/>
        <v>21.161912104853506</v>
      </c>
      <c r="AG18" s="175" t="s">
        <v>179</v>
      </c>
    </row>
    <row r="19" spans="1:34">
      <c r="A19" s="159">
        <v>11</v>
      </c>
      <c r="B19" s="187" t="s">
        <v>105</v>
      </c>
      <c r="C19" s="239"/>
      <c r="D19" s="180">
        <f>+D8*'Bal Mat Fus'!D203/100</f>
        <v>8.4282946074038971</v>
      </c>
      <c r="E19" s="180">
        <f>E8*SUMPRODUCT(Carga!$C$8:$C$13,'Analisis Otros'!K6:K11)/Carga!$C$15/100</f>
        <v>0</v>
      </c>
      <c r="F19" s="180">
        <f>$F$8*SUMPRODUCT(Carga!$AF$19:$AF$31,'Analisis Otros'!Z18:Z30)/Carga!$E$43/100</f>
        <v>0</v>
      </c>
      <c r="G19" s="181">
        <f>+G8*Carga!M47/100*Factores!C55/100</f>
        <v>8.1605284948952403E-2</v>
      </c>
      <c r="H19" s="235">
        <f t="shared" si="0"/>
        <v>8.5098998923528502</v>
      </c>
      <c r="AG19" s="175" t="s">
        <v>180</v>
      </c>
    </row>
    <row r="20" spans="1:34">
      <c r="A20" s="159">
        <v>12</v>
      </c>
      <c r="B20" s="187" t="s">
        <v>129</v>
      </c>
      <c r="C20" s="239"/>
      <c r="D20" s="180">
        <f>+D8*'Bal Mat Fus'!D204/100</f>
        <v>14.915701137554322</v>
      </c>
      <c r="E20" s="180"/>
      <c r="F20" s="180">
        <f>$F$8*SUMPRODUCT(Carga!$AF$19:$AF$31,'Analisis Otros'!AA18:AA30)/Carga!$E$43/100</f>
        <v>0</v>
      </c>
      <c r="G20" s="240"/>
      <c r="H20" s="235">
        <f t="shared" si="0"/>
        <v>14.915701137554322</v>
      </c>
      <c r="AG20" s="175"/>
    </row>
    <row r="21" spans="1:34">
      <c r="A21" s="159">
        <v>13</v>
      </c>
      <c r="B21" s="187" t="s">
        <v>131</v>
      </c>
      <c r="C21" s="239"/>
      <c r="D21" s="180">
        <f>+D8*'Bal Mat Fus'!D205/100</f>
        <v>0.55952127832600007</v>
      </c>
      <c r="E21" s="180"/>
      <c r="F21" s="180">
        <f>$F$8*SUMPRODUCT(Carga!$AF$19:$AF$31,'Analisis Otros'!AB18:AB30)/Carga!$E$43/100</f>
        <v>0</v>
      </c>
      <c r="G21" s="240"/>
      <c r="H21" s="235">
        <f t="shared" si="0"/>
        <v>0.55952127832600007</v>
      </c>
      <c r="AG21" s="175" t="s">
        <v>181</v>
      </c>
    </row>
    <row r="22" spans="1:34">
      <c r="A22" s="159">
        <v>14</v>
      </c>
      <c r="B22" s="187" t="s">
        <v>114</v>
      </c>
      <c r="C22" s="239"/>
      <c r="D22" s="180"/>
      <c r="E22" s="180">
        <f>E8*SUMPRODUCT(Carga!$C$8:$C$13,'Analisis Otros'!H6:H11)/Carga!$C$15/100</f>
        <v>0</v>
      </c>
      <c r="F22" s="180"/>
      <c r="G22" s="240"/>
      <c r="H22" s="235">
        <f t="shared" si="0"/>
        <v>0</v>
      </c>
      <c r="AG22" s="175" t="s">
        <v>182</v>
      </c>
    </row>
    <row r="23" spans="1:34">
      <c r="A23" s="159">
        <v>15</v>
      </c>
      <c r="B23" s="187" t="s">
        <v>115</v>
      </c>
      <c r="C23" s="239"/>
      <c r="D23" s="180"/>
      <c r="E23" s="180">
        <f>E8*SUMPRODUCT(Carga!$C$8:$C$13,'Analisis Otros'!I6:I11)/Carga!$C$15/100</f>
        <v>0</v>
      </c>
      <c r="F23" s="180"/>
      <c r="G23" s="240"/>
      <c r="H23" s="235">
        <f t="shared" si="0"/>
        <v>0</v>
      </c>
      <c r="AG23" s="175" t="s">
        <v>183</v>
      </c>
    </row>
    <row r="24" spans="1:34">
      <c r="A24" s="159">
        <v>16</v>
      </c>
      <c r="B24" s="187" t="s">
        <v>6</v>
      </c>
      <c r="C24" s="239">
        <f ca="1">+C8*'Bal Mat Fus'!D192/100</f>
        <v>6.1803966866046643E-4</v>
      </c>
      <c r="D24" s="180">
        <f>+'Bal Mat Fus'!J201</f>
        <v>1.6631051852590662E-2</v>
      </c>
      <c r="E24" s="180"/>
      <c r="F24" s="180">
        <f>$F$8*SUMPRODUCT(Carga!$AF$19:$AF$31,'Analisis Otros'!AD18:AD30)/Carga!$E$43/100</f>
        <v>0</v>
      </c>
      <c r="G24" s="240"/>
      <c r="H24" s="235">
        <f t="shared" ca="1" si="0"/>
        <v>1.5143843692018131E-2</v>
      </c>
      <c r="K24" s="7"/>
      <c r="L24" s="7"/>
      <c r="AG24" s="175" t="s">
        <v>184</v>
      </c>
    </row>
    <row r="25" spans="1:34">
      <c r="A25" s="159">
        <v>17</v>
      </c>
      <c r="B25" s="187" t="s">
        <v>8</v>
      </c>
      <c r="C25" s="239">
        <f ca="1">+C8*'Bal Mat Fus'!D193/100</f>
        <v>6.4368508567530546E-4</v>
      </c>
      <c r="D25" s="180">
        <f>+'Bal Mat Fus'!J202</f>
        <v>2.247586892904645E-2</v>
      </c>
      <c r="E25" s="180"/>
      <c r="F25" s="180">
        <f>$F$8*SUMPRODUCT(Carga!$AF$19:$AF$31,'Analisis Otros'!AE18:AE30)/Carga!$E$43/100</f>
        <v>0</v>
      </c>
      <c r="G25" s="240"/>
      <c r="H25" s="235">
        <f t="shared" ca="1" si="0"/>
        <v>3.3926492871451136E-2</v>
      </c>
      <c r="J25" s="3"/>
      <c r="K25" s="338"/>
      <c r="L25" s="21"/>
      <c r="AG25" s="175" t="s">
        <v>185</v>
      </c>
    </row>
    <row r="26" spans="1:34">
      <c r="A26" s="159">
        <v>18</v>
      </c>
      <c r="B26" s="187" t="s">
        <v>9</v>
      </c>
      <c r="C26" s="239">
        <f ca="1">+C8*'Bal Mat Fus'!D194/100</f>
        <v>7.2271361857125672E-3</v>
      </c>
      <c r="D26" s="180">
        <f>+'Bal Mat Fus'!J203</f>
        <v>9.3969073853307009E-2</v>
      </c>
      <c r="E26" s="180"/>
      <c r="F26" s="180">
        <f>$F$8*SUMPRODUCT(Carga!$AF$19:$AF$31,'Analisis Otros'!AF18:AF30)/Carga!$E$43/100</f>
        <v>0</v>
      </c>
      <c r="G26" s="240"/>
      <c r="H26" s="235">
        <f t="shared" ca="1" si="0"/>
        <v>0.20797028640027143</v>
      </c>
      <c r="J26" s="3"/>
      <c r="K26" s="338"/>
      <c r="L26" s="21"/>
      <c r="AG26" s="175"/>
    </row>
    <row r="27" spans="1:34">
      <c r="A27" s="159">
        <v>19</v>
      </c>
      <c r="B27" s="187" t="s">
        <v>75</v>
      </c>
      <c r="C27" s="239">
        <f ca="1">+C8*'Bal Mat Fus'!D195/100</f>
        <v>4.6852976747307406E-3</v>
      </c>
      <c r="D27" s="180">
        <f>+'Bal Mat Fus'!J204</f>
        <v>0.11011868536163671</v>
      </c>
      <c r="E27" s="180"/>
      <c r="F27" s="180">
        <f>$F$8*SUMPRODUCT(Carga!$AF$19:$AF$31,'Analisis Otros'!AG18:AG30)/Carga!$E$43/100</f>
        <v>0</v>
      </c>
      <c r="G27" s="240"/>
      <c r="H27" s="235">
        <f t="shared" ca="1" si="0"/>
        <v>0.11480398303636745</v>
      </c>
      <c r="J27" s="3"/>
      <c r="K27" s="338"/>
      <c r="L27" s="21"/>
      <c r="AG27" s="175" t="s">
        <v>189</v>
      </c>
      <c r="AH27">
        <v>1200</v>
      </c>
    </row>
    <row r="28" spans="1:34">
      <c r="A28" s="159">
        <v>20</v>
      </c>
      <c r="B28" s="187" t="s">
        <v>135</v>
      </c>
      <c r="C28" s="239"/>
      <c r="D28" s="180"/>
      <c r="E28" s="180"/>
      <c r="F28" s="180">
        <f>$F$8*SUMPRODUCT(Carga!$AF$19:$AF$31,'Analisis Otros'!AC18:AC30)/Carga!$E$43/100</f>
        <v>0</v>
      </c>
      <c r="G28" s="240"/>
      <c r="H28" s="235">
        <f t="shared" si="0"/>
        <v>0</v>
      </c>
      <c r="J28" s="3"/>
      <c r="K28" s="338"/>
      <c r="L28" s="21"/>
      <c r="AG28" s="175" t="s">
        <v>186</v>
      </c>
    </row>
    <row r="29" spans="1:34">
      <c r="A29" s="159">
        <v>21</v>
      </c>
      <c r="B29" s="250" t="s">
        <v>538</v>
      </c>
      <c r="C29" s="239"/>
      <c r="D29" s="180"/>
      <c r="E29" s="180"/>
      <c r="F29" s="180">
        <f>$F$8*SUMPRODUCT(Carga!$AF$19:$AF$31,'Analisis Otros'!AH18:AH30)/Carga!$E$43/100</f>
        <v>0</v>
      </c>
      <c r="G29" s="240"/>
      <c r="H29" s="235">
        <f t="shared" si="0"/>
        <v>0</v>
      </c>
      <c r="J29" s="3"/>
      <c r="K29" s="338"/>
      <c r="L29" s="21"/>
      <c r="AG29" s="175" t="s">
        <v>187</v>
      </c>
    </row>
    <row r="30" spans="1:34">
      <c r="A30" s="159">
        <v>22</v>
      </c>
      <c r="B30" s="250" t="s">
        <v>146</v>
      </c>
      <c r="C30" s="239"/>
      <c r="D30" s="180"/>
      <c r="E30" s="180"/>
      <c r="F30" s="180">
        <f>$F$8*SUMPRODUCT(Carga!$AF$19:$AF$31,'Analisis Otros'!AI18:AI30)/Carga!$E$43/100</f>
        <v>0</v>
      </c>
      <c r="G30" s="240"/>
      <c r="H30" s="235">
        <f t="shared" si="0"/>
        <v>0</v>
      </c>
      <c r="J30" s="3"/>
      <c r="K30" s="338"/>
      <c r="L30" s="21"/>
      <c r="AG30" s="175" t="s">
        <v>188</v>
      </c>
    </row>
    <row r="31" spans="1:34">
      <c r="A31" s="234">
        <v>23</v>
      </c>
      <c r="B31" s="261" t="s">
        <v>156</v>
      </c>
      <c r="C31" s="135"/>
      <c r="D31" s="3"/>
      <c r="E31" s="3"/>
      <c r="F31" s="3"/>
      <c r="G31" s="181">
        <f>+G8*Carga!H47/100</f>
        <v>1.3077770023870583</v>
      </c>
      <c r="H31" s="235">
        <f t="shared" si="0"/>
        <v>1.3077770023870583</v>
      </c>
      <c r="J31" s="3"/>
      <c r="K31" s="21"/>
      <c r="L31" s="21"/>
      <c r="AG31" s="175"/>
    </row>
    <row r="32" spans="1:34">
      <c r="A32" s="234">
        <v>24</v>
      </c>
      <c r="B32" s="261" t="s">
        <v>216</v>
      </c>
      <c r="C32" s="135"/>
      <c r="D32" s="3"/>
      <c r="E32" s="3"/>
      <c r="F32" s="3"/>
      <c r="G32" s="181">
        <f>+G8*Carga!I47/100</f>
        <v>7.6722917473374078E-2</v>
      </c>
      <c r="H32" s="235">
        <f t="shared" si="0"/>
        <v>7.6722917473374078E-2</v>
      </c>
      <c r="J32" s="3"/>
      <c r="K32" s="21"/>
      <c r="L32" s="21"/>
      <c r="M32" s="247"/>
      <c r="AG32" s="175" t="s">
        <v>190</v>
      </c>
    </row>
    <row r="33" spans="1:33">
      <c r="A33" s="234">
        <v>25</v>
      </c>
      <c r="B33" s="261" t="s">
        <v>111</v>
      </c>
      <c r="C33" s="135"/>
      <c r="D33" s="3"/>
      <c r="E33" s="3"/>
      <c r="F33" s="3"/>
      <c r="G33" s="181">
        <f>+G8*Carga!J47/100</f>
        <v>3.4874053396988215E-2</v>
      </c>
      <c r="H33" s="235">
        <f t="shared" si="0"/>
        <v>3.4874053396988215E-2</v>
      </c>
      <c r="J33" s="3"/>
      <c r="K33" s="3"/>
      <c r="L33" s="3"/>
      <c r="AG33" s="175" t="s">
        <v>191</v>
      </c>
    </row>
    <row r="34" spans="1:33">
      <c r="A34" s="234">
        <v>26</v>
      </c>
      <c r="B34" s="261" t="s">
        <v>158</v>
      </c>
      <c r="C34" s="135"/>
      <c r="D34" s="3"/>
      <c r="E34" s="3"/>
      <c r="F34" s="3"/>
      <c r="G34" s="181">
        <f>+G8*Carga!K47/100</f>
        <v>3.4874053396988215E-2</v>
      </c>
      <c r="H34" s="235">
        <f t="shared" si="0"/>
        <v>3.4874053396988215E-2</v>
      </c>
      <c r="J34" s="3"/>
      <c r="K34" s="3"/>
      <c r="L34" s="3"/>
    </row>
    <row r="35" spans="1:33">
      <c r="A35" s="234">
        <v>27</v>
      </c>
      <c r="B35" s="261" t="s">
        <v>5</v>
      </c>
      <c r="C35" s="135"/>
      <c r="D35" s="3"/>
      <c r="E35" s="3"/>
      <c r="F35" s="3"/>
      <c r="G35" s="181">
        <f>+G8*Carga!L47/100</f>
        <v>1.7437026698494108E-2</v>
      </c>
      <c r="H35" s="235">
        <f t="shared" si="0"/>
        <v>1.7437026698494108E-2</v>
      </c>
      <c r="J35" s="3"/>
      <c r="K35" s="3"/>
      <c r="L35" s="3"/>
    </row>
    <row r="36" spans="1:33">
      <c r="A36" s="159">
        <v>28</v>
      </c>
      <c r="B36" s="187" t="s">
        <v>103</v>
      </c>
      <c r="C36" s="239">
        <f ca="1">+C8*'Bal Mat Fus'!D196/100</f>
        <v>4.2957899309480976E-3</v>
      </c>
      <c r="D36" s="180">
        <f>+D8*'Bal Mat Fus'!D206/100-'Bal Mat Fus'!J205</f>
        <v>16.414836265836815</v>
      </c>
      <c r="E36" s="180">
        <f>E8*SUMPRODUCT(Carga!$C$8:$C$13,'Analisis Otros'!M6:M11)/Carga!$C$15/100</f>
        <v>0</v>
      </c>
      <c r="F36" s="180">
        <f>$F$8*SUMPRODUCT(Carga!$AF$19:$AF$31,'Analisis Otros'!AJ18:AJ30)/Carga!$E$43/100</f>
        <v>0</v>
      </c>
      <c r="G36" s="240"/>
      <c r="H36" s="235">
        <f t="shared" ca="1" si="0"/>
        <v>15.851937439273732</v>
      </c>
      <c r="J36" s="298"/>
      <c r="K36" s="3"/>
      <c r="L36" s="3"/>
    </row>
    <row r="37" spans="1:33">
      <c r="A37" s="230">
        <v>29</v>
      </c>
      <c r="B37" s="231" t="s">
        <v>150</v>
      </c>
      <c r="C37" s="238"/>
      <c r="D37" s="232"/>
      <c r="E37" s="232">
        <f>+E7*Carga!D15/100</f>
        <v>0</v>
      </c>
      <c r="F37" s="232">
        <f>+F7*Carga!F43/100</f>
        <v>0</v>
      </c>
      <c r="G37" s="333">
        <f>+G7*Carga!O47/100</f>
        <v>9.1773824728916362E-2</v>
      </c>
      <c r="H37" s="233">
        <f t="shared" si="0"/>
        <v>9.1773824728916362E-2</v>
      </c>
      <c r="J37" s="3"/>
      <c r="K37" s="3"/>
      <c r="L37" s="3"/>
    </row>
    <row r="40" spans="1:33" ht="15.6">
      <c r="A40" s="158" t="s">
        <v>255</v>
      </c>
    </row>
    <row r="42" spans="1:33">
      <c r="A42" s="152"/>
      <c r="B42" s="183"/>
      <c r="C42" s="277" t="s">
        <v>225</v>
      </c>
      <c r="D42" s="275" t="s">
        <v>226</v>
      </c>
      <c r="E42" s="275" t="s">
        <v>227</v>
      </c>
      <c r="F42" s="276" t="s">
        <v>257</v>
      </c>
      <c r="G42" s="276" t="s">
        <v>12</v>
      </c>
      <c r="I42" s="214" t="s">
        <v>270</v>
      </c>
    </row>
    <row r="43" spans="1:33">
      <c r="A43" s="135"/>
      <c r="B43" s="100"/>
      <c r="C43" s="155" t="s">
        <v>151</v>
      </c>
      <c r="D43" s="186" t="s">
        <v>151</v>
      </c>
      <c r="E43" s="186" t="s">
        <v>151</v>
      </c>
      <c r="F43" s="176" t="s">
        <v>151</v>
      </c>
      <c r="G43" s="240" t="s">
        <v>151</v>
      </c>
    </row>
    <row r="44" spans="1:33">
      <c r="A44" s="136"/>
      <c r="B44" s="278" t="s">
        <v>89</v>
      </c>
      <c r="C44" s="156">
        <f>L5/1000*L11</f>
        <v>1.5809470400347412</v>
      </c>
      <c r="D44" s="283">
        <f>+SUM(D45:D52)</f>
        <v>13.254182498626168</v>
      </c>
      <c r="E44" s="283">
        <f>+SUM(E45:E52)</f>
        <v>2.234070339174465</v>
      </c>
      <c r="F44" s="283">
        <f>+SUM(F45:F52)</f>
        <v>0</v>
      </c>
      <c r="G44" s="134"/>
      <c r="I44" t="s">
        <v>272</v>
      </c>
    </row>
    <row r="45" spans="1:33">
      <c r="A45" s="159">
        <v>23</v>
      </c>
      <c r="B45" s="279" t="s">
        <v>156</v>
      </c>
      <c r="C45" s="256">
        <f>+Carga!H50/100*C44</f>
        <v>1.1754635342239563</v>
      </c>
      <c r="D45" s="258"/>
      <c r="E45" s="258"/>
      <c r="F45" s="259"/>
      <c r="G45" s="281">
        <f t="shared" ref="G45:G52" si="1">+SUM(C45:F45)</f>
        <v>1.1754635342239563</v>
      </c>
      <c r="I45" s="237" t="s">
        <v>226</v>
      </c>
      <c r="J45" s="269" t="s">
        <v>227</v>
      </c>
      <c r="K45" s="278" t="s">
        <v>271</v>
      </c>
      <c r="M45" t="s">
        <v>274</v>
      </c>
      <c r="N45" s="332">
        <f>+(M15*C44*1000*I47*(L8-100)/100)*32/22.4/1000+H33</f>
        <v>-0.78967618827381902</v>
      </c>
      <c r="O45" t="s">
        <v>229</v>
      </c>
    </row>
    <row r="46" spans="1:33">
      <c r="A46" s="159">
        <v>30</v>
      </c>
      <c r="B46" s="279" t="s">
        <v>157</v>
      </c>
      <c r="C46" s="257">
        <f>+Carga!I50/100*C44</f>
        <v>0.37283773322023706</v>
      </c>
      <c r="D46" s="252"/>
      <c r="E46" s="252"/>
      <c r="F46" s="253"/>
      <c r="G46" s="282">
        <f t="shared" si="1"/>
        <v>0.37283773322023706</v>
      </c>
      <c r="I46" s="257">
        <v>1</v>
      </c>
      <c r="J46" s="224">
        <v>1</v>
      </c>
      <c r="K46" s="288">
        <f>+(M15*C44*1000*L8/100*I47)/L6*100-L7*L11</f>
        <v>11862.279337614396</v>
      </c>
    </row>
    <row r="47" spans="1:33">
      <c r="A47" s="159">
        <v>31</v>
      </c>
      <c r="B47" s="279" t="s">
        <v>111</v>
      </c>
      <c r="C47" s="257">
        <f>+Carga!J50/100*C44</f>
        <v>9.4917224272075777E-3</v>
      </c>
      <c r="D47" s="252">
        <f>(0.21*(100-L9)/100*J51)*32/22.4/1000</f>
        <v>3.0883532035633787</v>
      </c>
      <c r="E47" s="252">
        <f>+L10/100*J52*32/22.4/1000</f>
        <v>2.1948761226977198</v>
      </c>
      <c r="F47" s="253">
        <f>0.21*(100-L9)/100*L7*L11*32/22.4/1000</f>
        <v>0</v>
      </c>
      <c r="G47" s="282">
        <f t="shared" si="1"/>
        <v>5.2927210486883061</v>
      </c>
      <c r="I47" s="271">
        <f>0.21*(100-L9)/100</f>
        <v>0.21</v>
      </c>
      <c r="J47" s="249">
        <f>+L10/100</f>
        <v>0.98</v>
      </c>
      <c r="K47" s="289">
        <f>+M15*C44*1000*L8/100*I47-L7*L11*I47</f>
        <v>3698.2605283827688</v>
      </c>
      <c r="M47" t="s">
        <v>275</v>
      </c>
      <c r="N47" s="332">
        <f ca="1">+G31-(D58+D70+D79+D82)</f>
        <v>-0.29700266259515073</v>
      </c>
      <c r="O47" t="s">
        <v>229</v>
      </c>
    </row>
    <row r="48" spans="1:33">
      <c r="A48" s="159">
        <v>26</v>
      </c>
      <c r="B48" s="279" t="s">
        <v>158</v>
      </c>
      <c r="C48" s="257">
        <f>+Carga!K50/100*C44</f>
        <v>2.3154050163339698E-2</v>
      </c>
      <c r="D48" s="252">
        <f>(0.21*(100-L9)/100*79/21*J51)*28/22.4/1000</f>
        <v>10.165829295062789</v>
      </c>
      <c r="E48" s="252">
        <f>(1-L10/100)*J52*28/22.4/1000</f>
        <v>3.9194216476745036E-2</v>
      </c>
      <c r="F48" s="253">
        <f>0.21*(100-L9)/100*79/21*L7*L11*28/22.4/1000</f>
        <v>0</v>
      </c>
      <c r="G48" s="282">
        <f t="shared" si="1"/>
        <v>10.228177561702873</v>
      </c>
      <c r="N48" s="332">
        <f ca="1">+N47-(D108)</f>
        <v>-8.7409199246857305E-4</v>
      </c>
    </row>
    <row r="49" spans="1:11">
      <c r="A49" s="159">
        <v>27</v>
      </c>
      <c r="B49" s="279" t="s">
        <v>5</v>
      </c>
      <c r="C49" s="257">
        <f>+Carga!L50/100*C44</f>
        <v>0</v>
      </c>
      <c r="D49" s="252"/>
      <c r="E49" s="252"/>
      <c r="F49" s="253"/>
      <c r="G49" s="282">
        <f t="shared" si="1"/>
        <v>0</v>
      </c>
      <c r="I49" t="s">
        <v>273</v>
      </c>
    </row>
    <row r="50" spans="1:11">
      <c r="A50" s="159">
        <v>10</v>
      </c>
      <c r="B50" s="279" t="s">
        <v>93</v>
      </c>
      <c r="C50" s="257">
        <f>+Carga!M50*2/3/100*C44</f>
        <v>0</v>
      </c>
      <c r="D50" s="252"/>
      <c r="E50" s="252"/>
      <c r="F50" s="253"/>
      <c r="G50" s="282">
        <f t="shared" si="1"/>
        <v>0</v>
      </c>
      <c r="I50" s="134"/>
      <c r="J50" s="269" t="s">
        <v>271</v>
      </c>
      <c r="K50" s="241" t="s">
        <v>268</v>
      </c>
    </row>
    <row r="51" spans="1:11">
      <c r="A51" s="159">
        <v>11</v>
      </c>
      <c r="B51" s="279" t="s">
        <v>105</v>
      </c>
      <c r="C51" s="257">
        <f>+Carga!M50*1/3/100*C44</f>
        <v>0</v>
      </c>
      <c r="D51" s="252"/>
      <c r="E51" s="252"/>
      <c r="F51" s="253"/>
      <c r="G51" s="282">
        <f t="shared" si="1"/>
        <v>0</v>
      </c>
      <c r="I51" s="183" t="s">
        <v>226</v>
      </c>
      <c r="J51" s="290">
        <f t="array" ref="J51:J52">+MMULT(MINVERSE(I46:J47),K46:K47)</f>
        <v>10294.510678544597</v>
      </c>
      <c r="K51" s="292">
        <f>+J51/L11</f>
        <v>7099.6625369273088</v>
      </c>
    </row>
    <row r="52" spans="1:11">
      <c r="A52" s="278">
        <v>29</v>
      </c>
      <c r="B52" s="280" t="s">
        <v>150</v>
      </c>
      <c r="C52" s="237"/>
      <c r="D52" s="254">
        <f>+L9/100*J51*18/22.4/1000</f>
        <v>0</v>
      </c>
      <c r="E52" s="254"/>
      <c r="F52" s="255">
        <f>+L9/100*L7*L11*18/22.4/1000</f>
        <v>0</v>
      </c>
      <c r="G52" s="157">
        <f t="shared" si="1"/>
        <v>0</v>
      </c>
      <c r="I52" s="260" t="s">
        <v>227</v>
      </c>
      <c r="J52" s="291">
        <v>1567.7686590697999</v>
      </c>
      <c r="K52" s="293">
        <f>+J52/L11</f>
        <v>1081.2197648757242</v>
      </c>
    </row>
    <row r="55" spans="1:11" ht="15.6">
      <c r="A55" s="158" t="s">
        <v>252</v>
      </c>
    </row>
    <row r="57" spans="1:11">
      <c r="A57" s="7">
        <v>1</v>
      </c>
      <c r="B57" s="7" t="s">
        <v>104</v>
      </c>
      <c r="C57" s="208" t="s">
        <v>193</v>
      </c>
      <c r="D57" s="7" t="s">
        <v>156</v>
      </c>
      <c r="E57" s="263" t="s">
        <v>194</v>
      </c>
      <c r="F57" s="7" t="s">
        <v>136</v>
      </c>
      <c r="G57" s="208" t="s">
        <v>193</v>
      </c>
      <c r="H57" s="7" t="s">
        <v>195</v>
      </c>
    </row>
    <row r="58" spans="1:11">
      <c r="A58" s="7"/>
      <c r="B58" s="209">
        <f>+H9</f>
        <v>0</v>
      </c>
      <c r="C58" s="200"/>
      <c r="D58" s="200">
        <f>+B58*12/(118.7+16*2)</f>
        <v>0</v>
      </c>
      <c r="E58" s="200"/>
      <c r="F58" s="200">
        <f>+B58*(118.7+16)/(118.7+2*16)</f>
        <v>0</v>
      </c>
      <c r="G58" s="200"/>
      <c r="H58" s="200">
        <f>+B58*(12+16)/(118.7+2*16)</f>
        <v>0</v>
      </c>
    </row>
    <row r="59" spans="1:11">
      <c r="A59" s="7"/>
      <c r="B59" s="209"/>
      <c r="C59" s="200"/>
      <c r="D59" s="200"/>
      <c r="E59" s="225"/>
      <c r="F59" s="200"/>
      <c r="G59" s="200"/>
      <c r="H59" s="200"/>
    </row>
    <row r="60" spans="1:11">
      <c r="A60" s="7">
        <v>2</v>
      </c>
      <c r="B60" s="7" t="s">
        <v>106</v>
      </c>
      <c r="C60" s="208" t="s">
        <v>193</v>
      </c>
      <c r="D60" s="7" t="s">
        <v>136</v>
      </c>
      <c r="E60" s="246" t="s">
        <v>194</v>
      </c>
      <c r="F60" s="7" t="s">
        <v>133</v>
      </c>
      <c r="G60" s="208" t="s">
        <v>193</v>
      </c>
      <c r="H60" s="7" t="s">
        <v>134</v>
      </c>
      <c r="I60" s="208" t="s">
        <v>193</v>
      </c>
      <c r="J60" s="7" t="s">
        <v>201</v>
      </c>
    </row>
    <row r="61" spans="1:11">
      <c r="A61" s="7"/>
      <c r="B61" s="209">
        <f>+H15</f>
        <v>0</v>
      </c>
      <c r="C61" s="7"/>
      <c r="D61" s="200">
        <f>+B61*(118.7+16)/(55.85+32*2)</f>
        <v>0</v>
      </c>
      <c r="E61" s="200"/>
      <c r="F61" s="200">
        <f>+B61*(118.7+32)/(55.85+32*2)</f>
        <v>0</v>
      </c>
      <c r="G61" s="200"/>
      <c r="H61" s="200">
        <f>+B61*(55.85+16)/(55.85+32*2)</f>
        <v>0</v>
      </c>
      <c r="I61" s="200"/>
      <c r="J61" s="200">
        <f>+B61*(32)/(55.85+32*2)</f>
        <v>0</v>
      </c>
    </row>
    <row r="62" spans="1:11">
      <c r="A62" s="7"/>
    </row>
    <row r="63" spans="1:11">
      <c r="A63" s="7">
        <v>3</v>
      </c>
      <c r="B63" s="7" t="s">
        <v>208</v>
      </c>
      <c r="E63" s="246" t="s">
        <v>194</v>
      </c>
      <c r="F63" s="7" t="s">
        <v>203</v>
      </c>
      <c r="G63" s="208" t="s">
        <v>193</v>
      </c>
      <c r="H63" s="7" t="s">
        <v>10</v>
      </c>
    </row>
    <row r="64" spans="1:11">
      <c r="A64" s="7"/>
      <c r="B64" s="209">
        <f>+H13</f>
        <v>0</v>
      </c>
      <c r="E64" s="7"/>
      <c r="F64" s="200">
        <f>2*B64*118.7/(118.7*2+55.85)</f>
        <v>0</v>
      </c>
      <c r="G64" s="200"/>
      <c r="H64" s="200">
        <f>+B64*55.85/(118.7*2+55.85)</f>
        <v>0</v>
      </c>
    </row>
    <row r="65" spans="1:8">
      <c r="A65" s="7"/>
    </row>
    <row r="66" spans="1:8">
      <c r="A66" s="7">
        <v>4</v>
      </c>
      <c r="B66" s="7" t="s">
        <v>10</v>
      </c>
      <c r="C66" s="7" t="s">
        <v>193</v>
      </c>
      <c r="D66" s="7" t="s">
        <v>136</v>
      </c>
      <c r="E66" s="246" t="s">
        <v>194</v>
      </c>
      <c r="F66" s="7" t="s">
        <v>134</v>
      </c>
      <c r="G66" s="7" t="s">
        <v>193</v>
      </c>
      <c r="H66" s="7" t="s">
        <v>7</v>
      </c>
    </row>
    <row r="67" spans="1:8">
      <c r="A67" s="7"/>
      <c r="B67" s="209">
        <f ca="1">+H64+H17</f>
        <v>1.4336407285893592E-2</v>
      </c>
      <c r="C67" s="200"/>
      <c r="D67" s="200">
        <f ca="1">+B67*(118.7+16)/55.85</f>
        <v>3.4576796086121159E-2</v>
      </c>
      <c r="E67" s="200"/>
      <c r="F67" s="200">
        <f ca="1">+B67*(55.85+16)/55.85</f>
        <v>1.8443524861082444E-2</v>
      </c>
      <c r="G67" s="200"/>
      <c r="H67" s="200">
        <f ca="1">+B67*118.7/55.85</f>
        <v>3.0469678510932307E-2</v>
      </c>
    </row>
    <row r="68" spans="1:8">
      <c r="A68" s="7"/>
    </row>
    <row r="69" spans="1:8">
      <c r="A69" s="7">
        <v>5</v>
      </c>
      <c r="B69" s="7" t="s">
        <v>136</v>
      </c>
      <c r="C69" s="208" t="s">
        <v>193</v>
      </c>
      <c r="D69" s="7" t="s">
        <v>156</v>
      </c>
      <c r="E69" s="263" t="s">
        <v>194</v>
      </c>
      <c r="F69" s="7" t="s">
        <v>7</v>
      </c>
      <c r="G69" s="208" t="s">
        <v>193</v>
      </c>
      <c r="H69" s="7" t="s">
        <v>195</v>
      </c>
    </row>
    <row r="70" spans="1:8">
      <c r="A70" s="7"/>
      <c r="B70" s="209">
        <f ca="1">+(F58+H10-D61-D67)*D134/100</f>
        <v>16.779058489882143</v>
      </c>
      <c r="C70" s="7"/>
      <c r="D70" s="200">
        <f ca="1">+B70*12/(118.7+16)</f>
        <v>1.4947936293881643</v>
      </c>
      <c r="E70" s="200"/>
      <c r="F70" s="200">
        <f ca="1">+B70*118.7/(118.7+16)</f>
        <v>14.786000317364591</v>
      </c>
      <c r="G70" s="200"/>
      <c r="H70" s="200">
        <f ca="1">+B70*(12+16)/(118.7+16)</f>
        <v>3.4878518019057165</v>
      </c>
    </row>
    <row r="71" spans="1:8">
      <c r="A71" s="7"/>
    </row>
    <row r="72" spans="1:8">
      <c r="A72" s="7">
        <v>6</v>
      </c>
      <c r="B72" s="7" t="s">
        <v>136</v>
      </c>
      <c r="E72" s="246" t="s">
        <v>194</v>
      </c>
      <c r="F72" s="7" t="s">
        <v>199</v>
      </c>
    </row>
    <row r="73" spans="1:8">
      <c r="A73" s="7"/>
      <c r="B73" s="209">
        <f ca="1">+(F58+H10-D61-D67)*D135/100</f>
        <v>3.0418236370540956</v>
      </c>
      <c r="E73" s="7"/>
      <c r="F73" s="200">
        <f ca="1">+B73</f>
        <v>3.0418236370540956</v>
      </c>
    </row>
    <row r="74" spans="1:8">
      <c r="A74" s="7"/>
      <c r="B74" s="7"/>
      <c r="C74" s="7"/>
      <c r="D74" s="7"/>
    </row>
    <row r="75" spans="1:8">
      <c r="A75" s="7">
        <v>7</v>
      </c>
      <c r="B75" s="7" t="s">
        <v>136</v>
      </c>
      <c r="E75" s="246" t="s">
        <v>194</v>
      </c>
      <c r="F75" s="7" t="s">
        <v>200</v>
      </c>
    </row>
    <row r="76" spans="1:8">
      <c r="A76" s="7"/>
      <c r="B76" s="209">
        <f ca="1">+(F58+H10-D61-D67)*D136/100</f>
        <v>0.45794212009106416</v>
      </c>
      <c r="E76" s="7"/>
      <c r="F76" s="200">
        <f ca="1">+B76</f>
        <v>0.45794212009106416</v>
      </c>
    </row>
    <row r="77" spans="1:8">
      <c r="A77" s="7"/>
    </row>
    <row r="78" spans="1:8">
      <c r="A78" s="7">
        <v>8</v>
      </c>
      <c r="B78" s="7" t="s">
        <v>132</v>
      </c>
      <c r="C78" s="208" t="s">
        <v>193</v>
      </c>
      <c r="D78" s="7" t="s">
        <v>156</v>
      </c>
      <c r="E78" s="263" t="s">
        <v>194</v>
      </c>
      <c r="F78" s="7" t="s">
        <v>202</v>
      </c>
      <c r="G78" s="208" t="s">
        <v>193</v>
      </c>
      <c r="H78" s="7" t="s">
        <v>195</v>
      </c>
    </row>
    <row r="79" spans="1:8">
      <c r="A79" s="7"/>
      <c r="B79" s="209">
        <f>+H14</f>
        <v>8.1605284948952403E-2</v>
      </c>
      <c r="C79" s="7"/>
      <c r="D79" s="200">
        <f>+B79*12/(55.85*2+3*16)</f>
        <v>6.1318936718060667E-3</v>
      </c>
      <c r="E79" s="200"/>
      <c r="F79" s="200">
        <f>2*B79*(55.85+16)/(55.85*2+16*3)</f>
        <v>7.342942671987765E-2</v>
      </c>
      <c r="G79" s="200"/>
      <c r="H79" s="200">
        <f>+B79*(12+16)/(55.85*2+16*3)</f>
        <v>1.4307751900880824E-2</v>
      </c>
    </row>
    <row r="80" spans="1:8">
      <c r="A80" s="7"/>
    </row>
    <row r="81" spans="1:13">
      <c r="A81" s="342">
        <v>9</v>
      </c>
      <c r="B81" s="7" t="s">
        <v>134</v>
      </c>
      <c r="C81" s="208" t="s">
        <v>193</v>
      </c>
      <c r="D81" s="7" t="s">
        <v>156</v>
      </c>
      <c r="E81" s="263" t="s">
        <v>194</v>
      </c>
      <c r="F81" s="7" t="s">
        <v>10</v>
      </c>
      <c r="G81" s="208" t="s">
        <v>193</v>
      </c>
      <c r="H81" s="7" t="s">
        <v>195</v>
      </c>
    </row>
    <row r="82" spans="1:13">
      <c r="A82" s="7"/>
      <c r="B82" s="209">
        <f ca="1">+(H16+H61+F79+F67)*H142/100</f>
        <v>0.62182667475940445</v>
      </c>
      <c r="C82" s="7"/>
      <c r="D82" s="200">
        <f ca="1">+B82*12/(55.85+16)</f>
        <v>0.10385414192223875</v>
      </c>
      <c r="E82" s="200"/>
      <c r="F82" s="200">
        <f ca="1">+B82*55.85/(55.85+16)</f>
        <v>0.4833544855297528</v>
      </c>
      <c r="G82" s="200"/>
      <c r="H82" s="200">
        <f ca="1">+B82*(12+16)/(55.85+16)</f>
        <v>0.24232633115189042</v>
      </c>
    </row>
    <row r="83" spans="1:13">
      <c r="A83" s="7"/>
    </row>
    <row r="84" spans="1:13">
      <c r="A84" s="7">
        <v>10</v>
      </c>
      <c r="B84" s="7" t="s">
        <v>206</v>
      </c>
      <c r="E84" s="246" t="s">
        <v>194</v>
      </c>
      <c r="F84" s="7" t="s">
        <v>207</v>
      </c>
    </row>
    <row r="85" spans="1:13">
      <c r="A85" s="7"/>
      <c r="B85" s="209">
        <f ca="1">+(H16+H61+F79+F67)*(1-H142/100)</f>
        <v>11.521088562722333</v>
      </c>
      <c r="E85" s="7"/>
      <c r="F85" s="200">
        <f ca="1">+B85</f>
        <v>11.521088562722333</v>
      </c>
    </row>
    <row r="86" spans="1:13">
      <c r="A86" s="7"/>
    </row>
    <row r="87" spans="1:13">
      <c r="A87" s="7">
        <v>11</v>
      </c>
      <c r="B87" s="7" t="s">
        <v>114</v>
      </c>
      <c r="E87" s="246" t="s">
        <v>194</v>
      </c>
      <c r="F87" s="7" t="s">
        <v>129</v>
      </c>
      <c r="G87" s="208" t="s">
        <v>193</v>
      </c>
      <c r="H87" s="7" t="s">
        <v>217</v>
      </c>
    </row>
    <row r="88" spans="1:13">
      <c r="A88" s="7"/>
      <c r="B88" s="209">
        <f>+H22</f>
        <v>0</v>
      </c>
      <c r="F88" s="200">
        <f>+B88*0.56</f>
        <v>0</v>
      </c>
      <c r="H88" s="200">
        <f>+B88*0.44</f>
        <v>0</v>
      </c>
    </row>
    <row r="89" spans="1:13">
      <c r="A89" s="7"/>
    </row>
    <row r="90" spans="1:13">
      <c r="A90" s="7">
        <v>12</v>
      </c>
      <c r="B90" s="7" t="s">
        <v>115</v>
      </c>
      <c r="E90" s="246" t="s">
        <v>194</v>
      </c>
      <c r="F90" s="7" t="s">
        <v>131</v>
      </c>
      <c r="G90" s="208" t="s">
        <v>193</v>
      </c>
      <c r="H90" s="7" t="s">
        <v>217</v>
      </c>
    </row>
    <row r="91" spans="1:13">
      <c r="A91" s="7"/>
      <c r="B91" s="209">
        <f>+H23</f>
        <v>0</v>
      </c>
      <c r="F91" s="200">
        <f>+B91*(24.3+16)/(24.3+12+16*3)</f>
        <v>0</v>
      </c>
      <c r="H91" s="200">
        <f>+B91*(12+16*2)/(24.3+12+16*3)</f>
        <v>0</v>
      </c>
    </row>
    <row r="92" spans="1:13">
      <c r="A92" s="7"/>
      <c r="L92" t="s">
        <v>598</v>
      </c>
    </row>
    <row r="93" spans="1:13">
      <c r="A93" s="7">
        <v>13</v>
      </c>
      <c r="B93" s="7" t="s">
        <v>135</v>
      </c>
      <c r="C93" s="7" t="s">
        <v>193</v>
      </c>
      <c r="D93" s="7" t="s">
        <v>7</v>
      </c>
      <c r="E93" s="246" t="s">
        <v>194</v>
      </c>
      <c r="F93" s="7" t="s">
        <v>133</v>
      </c>
      <c r="G93" s="7" t="s">
        <v>193</v>
      </c>
      <c r="H93" s="7" t="s">
        <v>242</v>
      </c>
      <c r="L93" t="s">
        <v>591</v>
      </c>
      <c r="M93">
        <f>+Principal!V24</f>
        <v>0</v>
      </c>
    </row>
    <row r="94" spans="1:13">
      <c r="A94" s="7"/>
      <c r="B94" s="209">
        <f>+H28</f>
        <v>0</v>
      </c>
      <c r="C94" s="7"/>
      <c r="D94" s="200">
        <f>+B94*118.7/(63.5*2+32)</f>
        <v>0</v>
      </c>
      <c r="E94" s="200"/>
      <c r="F94" s="200">
        <f>+B94*(118.7+32)/(63.5*2+32)</f>
        <v>0</v>
      </c>
      <c r="G94" s="200"/>
      <c r="H94" s="200">
        <f>+B94*2*63.5/(63.5*2+32)</f>
        <v>0</v>
      </c>
      <c r="L94" t="s">
        <v>592</v>
      </c>
      <c r="M94">
        <f>1-M93</f>
        <v>1</v>
      </c>
    </row>
    <row r="95" spans="1:13">
      <c r="A95" s="7"/>
    </row>
    <row r="96" spans="1:13">
      <c r="A96" s="7">
        <v>14</v>
      </c>
      <c r="B96" s="7" t="s">
        <v>5</v>
      </c>
      <c r="C96" s="7" t="s">
        <v>193</v>
      </c>
      <c r="D96" s="7" t="s">
        <v>7</v>
      </c>
      <c r="E96" s="246" t="s">
        <v>194</v>
      </c>
      <c r="F96" s="7" t="s">
        <v>133</v>
      </c>
    </row>
    <row r="97" spans="1:26">
      <c r="A97" s="7"/>
      <c r="B97" s="209">
        <f>+H35</f>
        <v>1.7437026698494108E-2</v>
      </c>
      <c r="C97" s="7"/>
      <c r="D97" s="200">
        <f>+B97*118.7/32</f>
        <v>6.4680470909726576E-2</v>
      </c>
      <c r="E97" s="200"/>
      <c r="F97" s="200">
        <f>+B97*(118.7+32)/32</f>
        <v>8.211749760822068E-2</v>
      </c>
    </row>
    <row r="98" spans="1:26">
      <c r="A98" s="7"/>
    </row>
    <row r="99" spans="1:26">
      <c r="A99" s="7"/>
      <c r="B99" s="190" t="s">
        <v>244</v>
      </c>
      <c r="L99" t="s">
        <v>597</v>
      </c>
    </row>
    <row r="100" spans="1:26">
      <c r="A100" s="7"/>
      <c r="B100" s="190"/>
      <c r="L100" t="s">
        <v>591</v>
      </c>
      <c r="M100">
        <f>+Principal!V28</f>
        <v>0</v>
      </c>
    </row>
    <row r="101" spans="1:26">
      <c r="A101" s="7">
        <v>15</v>
      </c>
      <c r="B101" s="7" t="s">
        <v>394</v>
      </c>
      <c r="C101" s="7" t="s">
        <v>193</v>
      </c>
      <c r="D101" s="264" t="s">
        <v>216</v>
      </c>
      <c r="E101" s="246" t="s">
        <v>194</v>
      </c>
      <c r="F101" s="7" t="s">
        <v>395</v>
      </c>
      <c r="G101" s="7" t="s">
        <v>193</v>
      </c>
      <c r="H101" s="7" t="s">
        <v>393</v>
      </c>
      <c r="L101" t="s">
        <v>592</v>
      </c>
      <c r="M101">
        <f>1-M100</f>
        <v>1</v>
      </c>
    </row>
    <row r="102" spans="1:26">
      <c r="A102" s="7"/>
      <c r="B102" s="209">
        <f>+N45*C173/100</f>
        <v>0</v>
      </c>
      <c r="C102" s="7"/>
      <c r="D102" s="265">
        <f>+B102*30/(3.5*32)</f>
        <v>0</v>
      </c>
      <c r="E102" s="200"/>
      <c r="F102" s="200">
        <f>+B102*2*44/(3.5*32)</f>
        <v>0</v>
      </c>
      <c r="H102" s="200">
        <f>+B102*3*18/(3.5*32)</f>
        <v>0</v>
      </c>
    </row>
    <row r="103" spans="1:26">
      <c r="A103" s="7"/>
      <c r="D103" s="266"/>
    </row>
    <row r="104" spans="1:26">
      <c r="A104" s="7">
        <v>16</v>
      </c>
      <c r="B104" s="7" t="s">
        <v>243</v>
      </c>
      <c r="C104" s="7" t="s">
        <v>193</v>
      </c>
      <c r="D104" s="264" t="s">
        <v>195</v>
      </c>
      <c r="E104" s="246" t="s">
        <v>194</v>
      </c>
      <c r="F104" s="7" t="s">
        <v>217</v>
      </c>
    </row>
    <row r="105" spans="1:26">
      <c r="A105" s="7"/>
      <c r="B105" s="209">
        <f>+N45*C174/100</f>
        <v>-0.39483809413690951</v>
      </c>
      <c r="C105" s="7"/>
      <c r="D105" s="265">
        <f>+B105*28/16</f>
        <v>-0.69096666473959167</v>
      </c>
      <c r="E105" s="200"/>
      <c r="F105" s="200">
        <f>+B105*44/16</f>
        <v>-1.0858047588765012</v>
      </c>
    </row>
    <row r="106" spans="1:26">
      <c r="A106" s="7"/>
      <c r="D106" s="266"/>
    </row>
    <row r="107" spans="1:26">
      <c r="A107" s="7">
        <v>17</v>
      </c>
      <c r="B107" s="7" t="s">
        <v>243</v>
      </c>
      <c r="C107" s="7" t="s">
        <v>193</v>
      </c>
      <c r="D107" s="264" t="s">
        <v>156</v>
      </c>
      <c r="E107" s="246" t="s">
        <v>194</v>
      </c>
      <c r="F107" s="7" t="s">
        <v>195</v>
      </c>
    </row>
    <row r="108" spans="1:26">
      <c r="A108" s="7"/>
      <c r="B108" s="209">
        <f>+N45*C175/100</f>
        <v>-0.39483809413690951</v>
      </c>
      <c r="C108" s="7"/>
      <c r="D108" s="200">
        <f>+B108*0.75</f>
        <v>-0.29612857060268216</v>
      </c>
      <c r="E108" s="200"/>
      <c r="F108" s="200">
        <f>+B108*1.75</f>
        <v>-0.69096666473959167</v>
      </c>
    </row>
    <row r="109" spans="1:26">
      <c r="A109" s="7"/>
    </row>
    <row r="110" spans="1:26">
      <c r="A110" s="7"/>
      <c r="B110" s="190" t="s">
        <v>247</v>
      </c>
      <c r="J110" s="7"/>
      <c r="K110" s="190" t="s">
        <v>593</v>
      </c>
      <c r="S110" s="7"/>
      <c r="T110" s="190" t="s">
        <v>596</v>
      </c>
    </row>
    <row r="111" spans="1:26">
      <c r="A111" s="7"/>
      <c r="J111" s="7"/>
      <c r="S111" s="7"/>
    </row>
    <row r="112" spans="1:26">
      <c r="A112" s="7">
        <v>18</v>
      </c>
      <c r="B112" s="7" t="s">
        <v>136</v>
      </c>
      <c r="C112" s="208" t="s">
        <v>193</v>
      </c>
      <c r="D112" s="7" t="s">
        <v>243</v>
      </c>
      <c r="E112" s="263" t="s">
        <v>194</v>
      </c>
      <c r="F112" s="7" t="s">
        <v>104</v>
      </c>
      <c r="G112" s="208"/>
      <c r="H112" s="7"/>
      <c r="J112" s="7">
        <v>18</v>
      </c>
      <c r="K112" s="7" t="s">
        <v>136</v>
      </c>
      <c r="L112" s="208" t="s">
        <v>193</v>
      </c>
      <c r="M112" s="7" t="s">
        <v>243</v>
      </c>
      <c r="N112" s="263" t="s">
        <v>194</v>
      </c>
      <c r="O112" s="7" t="s">
        <v>104</v>
      </c>
      <c r="P112" s="208"/>
      <c r="Q112" s="7"/>
      <c r="S112" s="7">
        <v>18</v>
      </c>
      <c r="T112" s="7" t="s">
        <v>136</v>
      </c>
      <c r="U112" s="208" t="s">
        <v>193</v>
      </c>
      <c r="V112" s="7" t="s">
        <v>243</v>
      </c>
      <c r="W112" s="263" t="s">
        <v>194</v>
      </c>
      <c r="X112" s="7" t="s">
        <v>104</v>
      </c>
      <c r="Y112" s="208"/>
      <c r="Z112" s="7"/>
    </row>
    <row r="113" spans="1:26">
      <c r="A113" s="7"/>
      <c r="B113" s="209">
        <f ca="1">+F73</f>
        <v>3.0418236370540956</v>
      </c>
      <c r="C113" s="7"/>
      <c r="D113" s="200">
        <f ca="1">+B113*16/(118.7+16)</f>
        <v>0.36131535406730164</v>
      </c>
      <c r="E113" s="200"/>
      <c r="F113" s="200">
        <f ca="1">+B113*(118.7+16*2)/(118.7+16)</f>
        <v>3.4031389911213972</v>
      </c>
      <c r="G113" s="200"/>
      <c r="H113" s="200"/>
      <c r="J113" s="7"/>
      <c r="K113" s="209">
        <f ca="1">+B113*M100</f>
        <v>0</v>
      </c>
      <c r="L113" s="7"/>
      <c r="M113" s="200">
        <f ca="1">+K113*16/(118.7+16)</f>
        <v>0</v>
      </c>
      <c r="N113" s="200"/>
      <c r="O113" s="200">
        <f ca="1">+K113*(118.7+16*2)/(118.7+16)</f>
        <v>0</v>
      </c>
      <c r="P113" s="200"/>
      <c r="Q113" s="200"/>
      <c r="S113" s="7"/>
      <c r="T113" s="209">
        <f ca="1">+B113*M101</f>
        <v>3.0418236370540956</v>
      </c>
      <c r="U113" s="7"/>
      <c r="V113" s="200">
        <f ca="1">+T113*16/(118.7+16)</f>
        <v>0.36131535406730164</v>
      </c>
      <c r="W113" s="200"/>
      <c r="X113" s="200">
        <f ca="1">+T113*(118.7+16*2)/(118.7+16)</f>
        <v>3.4031389911213972</v>
      </c>
      <c r="Y113" s="200"/>
      <c r="Z113" s="200"/>
    </row>
    <row r="114" spans="1:26">
      <c r="A114" s="7"/>
      <c r="J114" s="7"/>
      <c r="S114" s="7"/>
    </row>
    <row r="115" spans="1:26">
      <c r="A115" s="7">
        <v>19</v>
      </c>
      <c r="B115" s="7" t="s">
        <v>133</v>
      </c>
      <c r="C115" s="208" t="s">
        <v>193</v>
      </c>
      <c r="D115" s="7" t="s">
        <v>248</v>
      </c>
      <c r="E115" s="263" t="s">
        <v>194</v>
      </c>
      <c r="F115" s="7" t="s">
        <v>104</v>
      </c>
      <c r="G115" s="208" t="s">
        <v>193</v>
      </c>
      <c r="H115" s="7" t="s">
        <v>239</v>
      </c>
      <c r="J115" s="7">
        <v>19</v>
      </c>
      <c r="K115" s="7" t="s">
        <v>133</v>
      </c>
      <c r="L115" s="208" t="s">
        <v>193</v>
      </c>
      <c r="M115" s="7" t="s">
        <v>248</v>
      </c>
      <c r="N115" s="263" t="s">
        <v>194</v>
      </c>
      <c r="O115" s="7" t="s">
        <v>104</v>
      </c>
      <c r="P115" s="208" t="s">
        <v>193</v>
      </c>
      <c r="Q115" s="7" t="s">
        <v>239</v>
      </c>
      <c r="S115" s="7">
        <v>19</v>
      </c>
      <c r="T115" s="7" t="s">
        <v>133</v>
      </c>
      <c r="U115" s="208" t="s">
        <v>193</v>
      </c>
      <c r="V115" s="7" t="s">
        <v>248</v>
      </c>
      <c r="W115" s="263" t="s">
        <v>194</v>
      </c>
      <c r="X115" s="7" t="s">
        <v>104</v>
      </c>
      <c r="Y115" s="208" t="s">
        <v>193</v>
      </c>
      <c r="Z115" s="7" t="s">
        <v>239</v>
      </c>
    </row>
    <row r="116" spans="1:26">
      <c r="A116" s="7"/>
      <c r="B116" s="209">
        <f>(H11+F61+F94+F97)</f>
        <v>8.211749760822068E-2</v>
      </c>
      <c r="C116" s="7"/>
      <c r="D116" s="200">
        <f>+B116*64/(118.7+32)</f>
        <v>3.4874053396988215E-2</v>
      </c>
      <c r="E116" s="200"/>
      <c r="F116" s="200">
        <f>+B116*(118.7+16*2)/(118.7+32)</f>
        <v>8.211749760822068E-2</v>
      </c>
      <c r="G116" s="200"/>
      <c r="H116" s="200">
        <f>+B116*64/(118.7+32)</f>
        <v>3.4874053396988215E-2</v>
      </c>
      <c r="J116" s="7"/>
      <c r="K116" s="209">
        <f>+B116*M100</f>
        <v>0</v>
      </c>
      <c r="L116" s="7"/>
      <c r="M116" s="200">
        <f>+K116*64/(118.7+32)</f>
        <v>0</v>
      </c>
      <c r="N116" s="200"/>
      <c r="O116" s="200">
        <f>+K116*(118.7+16*2)/(118.7+32)</f>
        <v>0</v>
      </c>
      <c r="P116" s="200"/>
      <c r="Q116" s="200">
        <f>+K116*64/(118.7+32)</f>
        <v>0</v>
      </c>
      <c r="S116" s="7"/>
      <c r="T116" s="209">
        <f>+B116*M101</f>
        <v>8.211749760822068E-2</v>
      </c>
      <c r="U116" s="7"/>
      <c r="V116" s="200">
        <f>+T116*64/(118.7+32)</f>
        <v>3.4874053396988215E-2</v>
      </c>
      <c r="W116" s="200"/>
      <c r="X116" s="200">
        <f>+T116*(118.7+16*2)/(118.7+32)</f>
        <v>8.211749760822068E-2</v>
      </c>
      <c r="Y116" s="200"/>
      <c r="Z116" s="200">
        <f>+T116*64/(118.7+32)</f>
        <v>3.4874053396988215E-2</v>
      </c>
    </row>
    <row r="117" spans="1:26">
      <c r="A117" s="7"/>
      <c r="J117" s="7"/>
      <c r="S117" s="7"/>
    </row>
    <row r="118" spans="1:26">
      <c r="A118" s="7">
        <v>20</v>
      </c>
      <c r="B118" s="7" t="s">
        <v>243</v>
      </c>
      <c r="C118" s="208" t="s">
        <v>193</v>
      </c>
      <c r="D118" s="7" t="s">
        <v>195</v>
      </c>
      <c r="E118" s="263" t="s">
        <v>194</v>
      </c>
      <c r="F118" s="7" t="s">
        <v>217</v>
      </c>
      <c r="G118" s="208"/>
      <c r="H118" s="7"/>
      <c r="J118" s="7">
        <v>20</v>
      </c>
      <c r="K118" s="7" t="s">
        <v>243</v>
      </c>
      <c r="L118" s="208" t="s">
        <v>193</v>
      </c>
      <c r="M118" s="7" t="s">
        <v>195</v>
      </c>
      <c r="N118" s="263" t="s">
        <v>194</v>
      </c>
      <c r="O118" s="7" t="s">
        <v>217</v>
      </c>
      <c r="P118" s="208"/>
      <c r="Q118" s="7"/>
      <c r="S118" s="7">
        <v>20</v>
      </c>
      <c r="T118" s="7" t="s">
        <v>243</v>
      </c>
      <c r="U118" s="208" t="s">
        <v>193</v>
      </c>
      <c r="V118" s="7" t="s">
        <v>195</v>
      </c>
      <c r="W118" s="263" t="s">
        <v>194</v>
      </c>
      <c r="X118" s="7" t="s">
        <v>217</v>
      </c>
      <c r="Y118" s="208"/>
      <c r="Z118" s="7"/>
    </row>
    <row r="119" spans="1:26">
      <c r="A119" s="7"/>
      <c r="B119" s="209">
        <f ca="1">IF((I243+N45*C176/100-D113-D116-D122-D125)&gt;K246,K246,(I243+N45*C176/100-D113-D116-D122-D125))</f>
        <v>2.1397062199762789</v>
      </c>
      <c r="C119" s="7"/>
      <c r="D119" s="200">
        <f ca="1">+B119*1.75</f>
        <v>3.7444858849584879</v>
      </c>
      <c r="E119" s="200"/>
      <c r="F119" s="200">
        <f ca="1">+B119*2.75</f>
        <v>5.8841921049347672</v>
      </c>
      <c r="G119" s="200"/>
      <c r="H119" s="200"/>
      <c r="J119" s="7"/>
      <c r="K119" s="209">
        <f ca="1">+B119*M100</f>
        <v>0</v>
      </c>
      <c r="L119" s="7"/>
      <c r="M119" s="200">
        <f ca="1">+K119*1.75</f>
        <v>0</v>
      </c>
      <c r="N119" s="200"/>
      <c r="O119" s="200">
        <f ca="1">+K119*2.75</f>
        <v>0</v>
      </c>
      <c r="P119" s="200"/>
      <c r="Q119" s="200"/>
      <c r="S119" s="7"/>
      <c r="T119" s="209">
        <f ca="1">+B119*M101</f>
        <v>2.1397062199762789</v>
      </c>
      <c r="U119" s="7"/>
      <c r="V119" s="200">
        <f ca="1">+T119*1.75</f>
        <v>3.7444858849584879</v>
      </c>
      <c r="W119" s="200"/>
      <c r="X119" s="200">
        <f ca="1">+T119*2.75</f>
        <v>5.8841921049347672</v>
      </c>
      <c r="Y119" s="200"/>
      <c r="Z119" s="200"/>
    </row>
    <row r="120" spans="1:26">
      <c r="A120" s="7"/>
      <c r="J120" s="7"/>
      <c r="S120" s="7"/>
    </row>
    <row r="121" spans="1:26">
      <c r="A121" s="7">
        <v>21</v>
      </c>
      <c r="B121" s="7" t="s">
        <v>201</v>
      </c>
      <c r="C121" s="208" t="s">
        <v>193</v>
      </c>
      <c r="D121" s="7" t="s">
        <v>245</v>
      </c>
      <c r="E121" s="263" t="s">
        <v>194</v>
      </c>
      <c r="F121" s="7" t="s">
        <v>239</v>
      </c>
      <c r="G121" s="208"/>
      <c r="H121" s="7"/>
      <c r="J121" s="7">
        <v>21</v>
      </c>
      <c r="K121" s="7" t="s">
        <v>201</v>
      </c>
      <c r="L121" s="208" t="s">
        <v>193</v>
      </c>
      <c r="M121" s="7" t="s">
        <v>245</v>
      </c>
      <c r="N121" s="263" t="s">
        <v>194</v>
      </c>
      <c r="O121" s="7" t="s">
        <v>239</v>
      </c>
      <c r="P121" s="208"/>
      <c r="Q121" s="7"/>
      <c r="S121" s="7">
        <v>21</v>
      </c>
      <c r="T121" s="7" t="s">
        <v>201</v>
      </c>
      <c r="U121" s="208" t="s">
        <v>193</v>
      </c>
      <c r="V121" s="7" t="s">
        <v>245</v>
      </c>
      <c r="W121" s="263" t="s">
        <v>194</v>
      </c>
      <c r="X121" s="7" t="s">
        <v>239</v>
      </c>
      <c r="Y121" s="208"/>
      <c r="Z121" s="7"/>
    </row>
    <row r="122" spans="1:26">
      <c r="A122" s="7"/>
      <c r="B122" s="209">
        <f>J61</f>
        <v>0</v>
      </c>
      <c r="C122" s="7"/>
      <c r="D122" s="200">
        <f>+B122*1</f>
        <v>0</v>
      </c>
      <c r="E122" s="200"/>
      <c r="F122" s="200">
        <f>+B122*2</f>
        <v>0</v>
      </c>
      <c r="G122" s="200"/>
      <c r="H122" s="200"/>
      <c r="J122" s="7"/>
      <c r="K122" s="209">
        <f>+B122*M100</f>
        <v>0</v>
      </c>
      <c r="L122" s="7"/>
      <c r="M122" s="200">
        <f>+K122*1</f>
        <v>0</v>
      </c>
      <c r="N122" s="200"/>
      <c r="O122" s="200">
        <f>+K122*2</f>
        <v>0</v>
      </c>
      <c r="P122" s="200"/>
      <c r="Q122" s="200"/>
      <c r="S122" s="7"/>
      <c r="T122" s="209">
        <f>+B122*M101</f>
        <v>0</v>
      </c>
      <c r="U122" s="7"/>
      <c r="V122" s="200">
        <f>+T122*1</f>
        <v>0</v>
      </c>
      <c r="W122" s="200"/>
      <c r="X122" s="200">
        <f>+T122*2</f>
        <v>0</v>
      </c>
      <c r="Y122" s="200"/>
      <c r="Z122" s="200"/>
    </row>
    <row r="123" spans="1:26">
      <c r="A123" s="7"/>
      <c r="J123" s="7"/>
      <c r="S123" s="7"/>
    </row>
    <row r="124" spans="1:26">
      <c r="A124" s="7">
        <v>22</v>
      </c>
      <c r="B124" s="7" t="s">
        <v>216</v>
      </c>
      <c r="C124" s="208" t="s">
        <v>193</v>
      </c>
      <c r="D124" s="7" t="s">
        <v>394</v>
      </c>
      <c r="E124" s="263" t="s">
        <v>194</v>
      </c>
      <c r="F124" s="7" t="s">
        <v>395</v>
      </c>
      <c r="G124" s="208" t="s">
        <v>193</v>
      </c>
      <c r="H124" s="7" t="s">
        <v>393</v>
      </c>
      <c r="J124" s="7">
        <v>22</v>
      </c>
      <c r="K124" s="7" t="s">
        <v>216</v>
      </c>
      <c r="L124" s="208" t="s">
        <v>193</v>
      </c>
      <c r="M124" s="7" t="s">
        <v>394</v>
      </c>
      <c r="N124" s="263" t="s">
        <v>194</v>
      </c>
      <c r="O124" s="7" t="s">
        <v>395</v>
      </c>
      <c r="P124" s="208" t="s">
        <v>193</v>
      </c>
      <c r="Q124" s="7" t="s">
        <v>393</v>
      </c>
      <c r="S124" s="7">
        <v>22</v>
      </c>
      <c r="T124" s="7" t="s">
        <v>216</v>
      </c>
      <c r="U124" s="208" t="s">
        <v>193</v>
      </c>
      <c r="V124" s="7" t="s">
        <v>394</v>
      </c>
      <c r="W124" s="263" t="s">
        <v>194</v>
      </c>
      <c r="X124" s="7" t="s">
        <v>395</v>
      </c>
      <c r="Y124" s="208" t="s">
        <v>193</v>
      </c>
      <c r="Z124" s="7" t="s">
        <v>393</v>
      </c>
    </row>
    <row r="125" spans="1:26">
      <c r="A125" s="7"/>
      <c r="B125" s="209">
        <f>+H32-D102</f>
        <v>7.6722917473374078E-2</v>
      </c>
      <c r="C125" s="7"/>
      <c r="D125" s="200">
        <f>+B125*3.5*32/30</f>
        <v>0.28643222523392986</v>
      </c>
      <c r="E125" s="200"/>
      <c r="F125" s="200">
        <f>+B125*2*44/30</f>
        <v>0.22505389125523062</v>
      </c>
      <c r="G125" s="200"/>
      <c r="H125" s="200">
        <f>+B125*3*18/30</f>
        <v>0.13810125145207333</v>
      </c>
      <c r="J125" s="7"/>
      <c r="K125" s="209">
        <f>+B125*M100</f>
        <v>0</v>
      </c>
      <c r="L125" s="7"/>
      <c r="M125" s="200">
        <f>+K125*3.5*32/30</f>
        <v>0</v>
      </c>
      <c r="N125" s="200"/>
      <c r="O125" s="200">
        <f>+K125*2*44/30</f>
        <v>0</v>
      </c>
      <c r="P125" s="200"/>
      <c r="Q125" s="200">
        <f>+K125*3*18/30</f>
        <v>0</v>
      </c>
      <c r="S125" s="7"/>
      <c r="T125" s="209">
        <f>+B125*M101</f>
        <v>7.6722917473374078E-2</v>
      </c>
      <c r="U125" s="7"/>
      <c r="V125" s="200">
        <f>+T125*3.5*32/30</f>
        <v>0.28643222523392986</v>
      </c>
      <c r="W125" s="200"/>
      <c r="X125" s="200">
        <f>+T125*2*44/30</f>
        <v>0.22505389125523062</v>
      </c>
      <c r="Y125" s="200"/>
      <c r="Z125" s="200">
        <f>+T125*3*18/30</f>
        <v>0.13810125145207333</v>
      </c>
    </row>
    <row r="126" spans="1:26">
      <c r="A126" s="7"/>
    </row>
    <row r="127" spans="1:26">
      <c r="A127" s="7"/>
      <c r="B127" s="7"/>
      <c r="C127" s="208"/>
      <c r="D127" s="7"/>
      <c r="E127" s="263"/>
      <c r="F127" s="7"/>
      <c r="G127" s="208"/>
      <c r="H127" s="7"/>
    </row>
    <row r="128" spans="1:26" ht="15.6">
      <c r="B128" s="158" t="s">
        <v>277</v>
      </c>
    </row>
    <row r="130" spans="1:10">
      <c r="A130" s="7">
        <v>1</v>
      </c>
      <c r="B130" s="190" t="s">
        <v>304</v>
      </c>
      <c r="D130" s="297">
        <f>+Principal!Q69</f>
        <v>0.57999999999999996</v>
      </c>
      <c r="E130" t="s">
        <v>212</v>
      </c>
      <c r="F130" s="157">
        <f ca="1">+(G194-D130)</f>
        <v>-2.7327511884606137E-3</v>
      </c>
    </row>
    <row r="131" spans="1:10">
      <c r="A131" s="7"/>
    </row>
    <row r="132" spans="1:10">
      <c r="A132" s="7"/>
      <c r="B132" s="190" t="s">
        <v>196</v>
      </c>
    </row>
    <row r="133" spans="1:10">
      <c r="A133" s="7"/>
      <c r="D133" s="7" t="s">
        <v>212</v>
      </c>
    </row>
    <row r="134" spans="1:10">
      <c r="A134" s="7"/>
      <c r="B134" s="152" t="s">
        <v>276</v>
      </c>
      <c r="C134" s="202"/>
      <c r="D134" s="243">
        <f>100-D135-D136</f>
        <v>82.741771837890482</v>
      </c>
    </row>
    <row r="135" spans="1:10">
      <c r="A135" s="7"/>
      <c r="B135" s="135" t="s">
        <v>197</v>
      </c>
      <c r="C135" s="184"/>
      <c r="D135" s="295">
        <f>+Factores!E10</f>
        <v>15</v>
      </c>
    </row>
    <row r="136" spans="1:10">
      <c r="A136" s="7"/>
      <c r="B136" s="136" t="s">
        <v>198</v>
      </c>
      <c r="C136" s="185"/>
      <c r="D136" s="296">
        <f>+macro!G29</f>
        <v>2.258228162109519</v>
      </c>
    </row>
    <row r="137" spans="1:10">
      <c r="A137" s="7"/>
      <c r="D137" s="200">
        <f>SUM(D134:D136)</f>
        <v>100</v>
      </c>
    </row>
    <row r="138" spans="1:10">
      <c r="A138" s="7"/>
    </row>
    <row r="139" spans="1:10">
      <c r="A139" s="7">
        <v>2</v>
      </c>
      <c r="B139" s="190" t="s">
        <v>278</v>
      </c>
    </row>
    <row r="140" spans="1:10">
      <c r="A140" s="7"/>
      <c r="C140" s="7" t="s">
        <v>212</v>
      </c>
      <c r="D140" s="7" t="s">
        <v>151</v>
      </c>
    </row>
    <row r="141" spans="1:10">
      <c r="A141" s="7"/>
      <c r="B141" s="183" t="s">
        <v>209</v>
      </c>
      <c r="C141" s="339">
        <f>+'Bal Mat Fus'!C147</f>
        <v>6</v>
      </c>
      <c r="D141" s="243">
        <f>+'Bal Mat Fus'!D147</f>
        <v>0.44338150361597067</v>
      </c>
      <c r="F141" s="190" t="s">
        <v>204</v>
      </c>
      <c r="H141" s="210"/>
    </row>
    <row r="142" spans="1:10">
      <c r="A142" s="7"/>
      <c r="B142" s="100" t="s">
        <v>210</v>
      </c>
      <c r="C142" s="309">
        <f>+'Bal Mat Fus'!C148</f>
        <v>10</v>
      </c>
      <c r="D142" s="244">
        <f>+'Bal Mat Fus'!D148</f>
        <v>0.73896917269328444</v>
      </c>
      <c r="F142" t="s">
        <v>205</v>
      </c>
      <c r="H142" s="341">
        <f>+macro!G33</f>
        <v>5.1209010571036666</v>
      </c>
      <c r="I142" t="s">
        <v>212</v>
      </c>
      <c r="J142" s="210"/>
    </row>
    <row r="143" spans="1:10">
      <c r="A143" s="7"/>
      <c r="B143" s="100" t="s">
        <v>211</v>
      </c>
      <c r="C143" s="309">
        <f>+'Bal Mat Fus'!C149</f>
        <v>82</v>
      </c>
      <c r="D143" s="244">
        <f>+'Bal Mat Fus'!D149</f>
        <v>6.0595472160849333</v>
      </c>
      <c r="H143" s="157">
        <f ca="1">+(C185+C206-F82)</f>
        <v>4.6970639845744788E-4</v>
      </c>
    </row>
    <row r="144" spans="1:10">
      <c r="A144" s="7"/>
      <c r="B144" s="260" t="s">
        <v>74</v>
      </c>
      <c r="C144" s="305">
        <f>+'Bal Mat Fus'!C150</f>
        <v>2</v>
      </c>
      <c r="D144" s="245">
        <f>+'Bal Mat Fus'!D150</f>
        <v>0.14779383453865688</v>
      </c>
    </row>
    <row r="145" spans="1:6">
      <c r="A145" s="7"/>
      <c r="C145" s="252">
        <f>+SUM(C141:C144)</f>
        <v>100</v>
      </c>
      <c r="D145" s="302">
        <f>+'Bal Mat Fus'!D151</f>
        <v>7.3896917269328446</v>
      </c>
    </row>
    <row r="146" spans="1:6">
      <c r="A146" s="7"/>
    </row>
    <row r="147" spans="1:6">
      <c r="A147" s="7">
        <v>3</v>
      </c>
      <c r="B147" s="190" t="s">
        <v>279</v>
      </c>
    </row>
    <row r="148" spans="1:6">
      <c r="A148" s="7"/>
      <c r="C148" s="7" t="s">
        <v>212</v>
      </c>
      <c r="D148" s="7" t="s">
        <v>212</v>
      </c>
      <c r="E148" s="7" t="s">
        <v>212</v>
      </c>
    </row>
    <row r="149" spans="1:6">
      <c r="A149" s="7"/>
      <c r="B149" s="134"/>
      <c r="C149" s="269" t="s">
        <v>210</v>
      </c>
      <c r="D149" s="269" t="s">
        <v>74</v>
      </c>
      <c r="E149" s="241" t="s">
        <v>209</v>
      </c>
    </row>
    <row r="150" spans="1:6">
      <c r="A150" s="7"/>
      <c r="B150" s="100" t="s">
        <v>233</v>
      </c>
      <c r="C150" s="339">
        <f>+'Bal Mat Fus'!C156</f>
        <v>65</v>
      </c>
      <c r="D150" s="290">
        <f>+'Bal Mat Fus'!D156</f>
        <v>60</v>
      </c>
      <c r="E150" s="340">
        <f>+'Bal Mat Fus'!E156</f>
        <v>65</v>
      </c>
    </row>
    <row r="151" spans="1:6">
      <c r="A151" s="7"/>
      <c r="B151" s="260" t="s">
        <v>234</v>
      </c>
      <c r="C151" s="305">
        <f>+'Bal Mat Fus'!C157</f>
        <v>35</v>
      </c>
      <c r="D151" s="291">
        <f>+'Bal Mat Fus'!D157</f>
        <v>40</v>
      </c>
      <c r="E151" s="300">
        <f>+'Bal Mat Fus'!E157</f>
        <v>35</v>
      </c>
    </row>
    <row r="152" spans="1:6">
      <c r="A152" s="7"/>
      <c r="C152" s="262">
        <f>+C150+C151</f>
        <v>100</v>
      </c>
      <c r="D152" s="262">
        <f>+D150+D151</f>
        <v>100</v>
      </c>
      <c r="E152" s="262">
        <f>+E150+E151</f>
        <v>100</v>
      </c>
    </row>
    <row r="153" spans="1:6">
      <c r="A153" s="7"/>
    </row>
    <row r="154" spans="1:6">
      <c r="A154" s="7">
        <v>4</v>
      </c>
      <c r="B154" s="190" t="s">
        <v>280</v>
      </c>
    </row>
    <row r="155" spans="1:6">
      <c r="A155" s="7"/>
      <c r="C155" s="7" t="s">
        <v>212</v>
      </c>
    </row>
    <row r="156" spans="1:6">
      <c r="A156" s="7"/>
      <c r="B156" s="152" t="s">
        <v>209</v>
      </c>
      <c r="C156" s="132">
        <f>+Factores!D22</f>
        <v>1</v>
      </c>
    </row>
    <row r="157" spans="1:6">
      <c r="A157" s="7"/>
      <c r="B157" s="135" t="s">
        <v>210</v>
      </c>
      <c r="C157" s="133">
        <f>+Factores!D23</f>
        <v>7</v>
      </c>
      <c r="F157" s="210"/>
    </row>
    <row r="158" spans="1:6">
      <c r="A158" s="7"/>
      <c r="B158" s="135" t="s">
        <v>211</v>
      </c>
      <c r="C158" s="133">
        <f>+Factores!D24</f>
        <v>77</v>
      </c>
    </row>
    <row r="159" spans="1:6">
      <c r="A159" s="7"/>
      <c r="B159" s="136" t="s">
        <v>74</v>
      </c>
      <c r="C159" s="343">
        <f>100-SUM(C156:C158)</f>
        <v>15</v>
      </c>
    </row>
    <row r="160" spans="1:6">
      <c r="C160" s="7">
        <f>+SUM(C156:C159)</f>
        <v>100</v>
      </c>
    </row>
    <row r="162" spans="1:6">
      <c r="A162" s="7">
        <v>5</v>
      </c>
      <c r="B162" s="190" t="s">
        <v>281</v>
      </c>
    </row>
    <row r="163" spans="1:6">
      <c r="C163" s="7" t="s">
        <v>212</v>
      </c>
      <c r="D163" s="7" t="s">
        <v>212</v>
      </c>
      <c r="E163" s="7" t="s">
        <v>212</v>
      </c>
      <c r="F163" s="7" t="s">
        <v>212</v>
      </c>
    </row>
    <row r="164" spans="1:6">
      <c r="B164" s="134"/>
      <c r="C164" s="269" t="s">
        <v>6</v>
      </c>
      <c r="D164" s="269" t="s">
        <v>8</v>
      </c>
      <c r="E164" s="269" t="s">
        <v>9</v>
      </c>
      <c r="F164" s="241" t="s">
        <v>75</v>
      </c>
    </row>
    <row r="165" spans="1:6">
      <c r="B165" s="100" t="s">
        <v>209</v>
      </c>
      <c r="C165" s="621">
        <v>50</v>
      </c>
      <c r="D165" s="622">
        <v>55</v>
      </c>
      <c r="E165" s="622">
        <v>35</v>
      </c>
      <c r="F165" s="623">
        <v>80</v>
      </c>
    </row>
    <row r="166" spans="1:6">
      <c r="B166" s="100" t="s">
        <v>210</v>
      </c>
      <c r="C166" s="624">
        <v>0</v>
      </c>
      <c r="D166" s="625">
        <v>10</v>
      </c>
      <c r="E166" s="625">
        <v>30</v>
      </c>
      <c r="F166" s="626">
        <v>10</v>
      </c>
    </row>
    <row r="167" spans="1:6">
      <c r="B167" s="100" t="s">
        <v>211</v>
      </c>
      <c r="C167" s="309">
        <f>100-C165-C166-C168</f>
        <v>0</v>
      </c>
      <c r="D167" s="307">
        <f>100-D165-D166-D168</f>
        <v>25</v>
      </c>
      <c r="E167" s="307">
        <f>100-E165-E166-E168</f>
        <v>25</v>
      </c>
      <c r="F167" s="310">
        <f>100-F165-F166-F168</f>
        <v>0</v>
      </c>
    </row>
    <row r="168" spans="1:6">
      <c r="B168" s="260" t="s">
        <v>74</v>
      </c>
      <c r="C168" s="627">
        <v>50</v>
      </c>
      <c r="D168" s="628">
        <v>10</v>
      </c>
      <c r="E168" s="628">
        <v>10</v>
      </c>
      <c r="F168" s="629">
        <v>10</v>
      </c>
    </row>
    <row r="169" spans="1:6">
      <c r="C169" s="7">
        <f>+SUM(C165:C168)</f>
        <v>100</v>
      </c>
      <c r="D169" s="7">
        <f>+SUM(D165:D168)</f>
        <v>100</v>
      </c>
      <c r="E169" s="7">
        <f>+SUM(E165:E168)</f>
        <v>100</v>
      </c>
      <c r="F169" s="7">
        <f>+SUM(F165:F168)</f>
        <v>100</v>
      </c>
    </row>
    <row r="171" spans="1:6">
      <c r="A171" s="7">
        <v>6</v>
      </c>
      <c r="B171" s="190" t="s">
        <v>282</v>
      </c>
    </row>
    <row r="172" spans="1:6">
      <c r="C172" s="7" t="s">
        <v>212</v>
      </c>
    </row>
    <row r="173" spans="1:6">
      <c r="B173" s="152" t="s">
        <v>216</v>
      </c>
      <c r="C173" s="308">
        <f>+Factores!G30</f>
        <v>0</v>
      </c>
      <c r="D173" s="214">
        <f>+H32*3.5*32/30/N45*100</f>
        <v>-36.272111213084969</v>
      </c>
      <c r="E173" s="190" t="s">
        <v>397</v>
      </c>
    </row>
    <row r="174" spans="1:6">
      <c r="B174" s="135" t="s">
        <v>385</v>
      </c>
      <c r="C174" s="299">
        <f>+Factores!G33</f>
        <v>50</v>
      </c>
    </row>
    <row r="175" spans="1:6">
      <c r="B175" s="135" t="s">
        <v>386</v>
      </c>
      <c r="C175" s="299">
        <f>+Factores!G32</f>
        <v>50</v>
      </c>
    </row>
    <row r="176" spans="1:6">
      <c r="B176" s="136" t="s">
        <v>245</v>
      </c>
      <c r="C176" s="300">
        <f>100-C173-C174-C175</f>
        <v>0</v>
      </c>
    </row>
    <row r="177" spans="2:13">
      <c r="C177" s="7">
        <f>+SUM(C173:C176)</f>
        <v>100</v>
      </c>
    </row>
    <row r="178" spans="2:13">
      <c r="C178" s="7"/>
    </row>
    <row r="180" spans="2:13" ht="15.6">
      <c r="B180" s="158" t="s">
        <v>283</v>
      </c>
    </row>
    <row r="183" spans="2:13">
      <c r="B183" s="190" t="s">
        <v>230</v>
      </c>
      <c r="C183" s="7" t="s">
        <v>229</v>
      </c>
      <c r="D183" s="7" t="s">
        <v>212</v>
      </c>
    </row>
    <row r="184" spans="2:13">
      <c r="B184" s="152" t="s">
        <v>7</v>
      </c>
      <c r="C184" s="242">
        <f ca="1">+F70+H67+F64+H12-C205-D94-D97</f>
        <v>12.116875338278509</v>
      </c>
      <c r="D184" s="313">
        <f t="shared" ref="D184:D190" ca="1" si="2">+C184/$C$191*100</f>
        <v>95.803047059536951</v>
      </c>
      <c r="G184" s="190" t="s">
        <v>306</v>
      </c>
      <c r="I184" s="331">
        <f ca="1">+C191/'Bal Mat Fus'!G253</f>
        <v>10.118154451391058</v>
      </c>
      <c r="J184" t="s">
        <v>301</v>
      </c>
    </row>
    <row r="185" spans="2:13">
      <c r="B185" s="135" t="s">
        <v>10</v>
      </c>
      <c r="C185" s="224">
        <f>+D141*E151/100</f>
        <v>0.15518352626558973</v>
      </c>
      <c r="D185" s="314">
        <f t="shared" ca="1" si="2"/>
        <v>1.4345230474170911</v>
      </c>
    </row>
    <row r="186" spans="2:13">
      <c r="B186" s="135" t="s">
        <v>6</v>
      </c>
      <c r="C186" s="224">
        <f ca="1">+H24*C165/100</f>
        <v>7.5719218460090654E-3</v>
      </c>
      <c r="D186" s="315">
        <f t="shared" ca="1" si="2"/>
        <v>5.986800760858571E-2</v>
      </c>
      <c r="G186" s="190" t="s">
        <v>307</v>
      </c>
      <c r="I186" s="331">
        <f ca="1">+I184+'Bal Mat Fus'!D253</f>
        <v>27.118154451391057</v>
      </c>
      <c r="J186" t="s">
        <v>301</v>
      </c>
    </row>
    <row r="187" spans="2:13">
      <c r="B187" s="135" t="s">
        <v>8</v>
      </c>
      <c r="C187" s="224">
        <f ca="1">+H25*D165/100</f>
        <v>1.8659571079298123E-2</v>
      </c>
      <c r="D187" s="315">
        <f t="shared" ca="1" si="2"/>
        <v>0.14753339588907166</v>
      </c>
      <c r="I187" s="323">
        <f ca="1">+I186*'Bal Mat Fus'!G253</f>
        <v>33.897693064238823</v>
      </c>
      <c r="J187" t="s">
        <v>229</v>
      </c>
    </row>
    <row r="188" spans="2:13">
      <c r="B188" s="135" t="s">
        <v>9</v>
      </c>
      <c r="C188" s="224">
        <f ca="1">+H26*E165/100</f>
        <v>7.2789600240094995E-2</v>
      </c>
      <c r="D188" s="315">
        <f t="shared" ca="1" si="2"/>
        <v>0.57551681457155679</v>
      </c>
    </row>
    <row r="189" spans="2:13">
      <c r="B189" s="135" t="s">
        <v>75</v>
      </c>
      <c r="C189" s="224">
        <f ca="1">+(H27+H28*2*63.5/(2*63.5+32))*F165/100</f>
        <v>9.1843186429093962E-2</v>
      </c>
      <c r="D189" s="315">
        <f t="shared" ca="1" si="2"/>
        <v>0.7261655225392788</v>
      </c>
    </row>
    <row r="190" spans="2:13">
      <c r="B190" s="136" t="s">
        <v>103</v>
      </c>
      <c r="C190" s="249">
        <f ca="1">+H36*C156/100</f>
        <v>0.15851937439273731</v>
      </c>
      <c r="D190" s="218">
        <f t="shared" ca="1" si="2"/>
        <v>1.2533461524374643</v>
      </c>
    </row>
    <row r="191" spans="2:13">
      <c r="C191" s="209">
        <f ca="1">+SUM(C184:C190)</f>
        <v>12.647693064238823</v>
      </c>
      <c r="D191" s="200">
        <f ca="1">+SUM(D184:D190)</f>
        <v>99.999999999999986</v>
      </c>
    </row>
    <row r="192" spans="2:13">
      <c r="J192" t="s">
        <v>525</v>
      </c>
      <c r="L192" s="700">
        <f ca="1">+L193/L194*C201</f>
        <v>3202.9834784970076</v>
      </c>
      <c r="M192" t="s">
        <v>292</v>
      </c>
    </row>
    <row r="193" spans="2:13">
      <c r="B193" s="190" t="s">
        <v>222</v>
      </c>
      <c r="C193" s="7" t="s">
        <v>229</v>
      </c>
      <c r="D193" s="7" t="s">
        <v>212</v>
      </c>
      <c r="G193" s="7" t="s">
        <v>212</v>
      </c>
      <c r="J193" t="s">
        <v>308</v>
      </c>
      <c r="L193" s="316">
        <f>+Principal!Q67</f>
        <v>600</v>
      </c>
      <c r="M193" t="s">
        <v>292</v>
      </c>
    </row>
    <row r="194" spans="2:13">
      <c r="B194" s="152" t="s">
        <v>136</v>
      </c>
      <c r="C194" s="242">
        <f ca="1">+F76</f>
        <v>0.45794212009106416</v>
      </c>
      <c r="D194" s="243">
        <f t="shared" ref="D194:D200" ca="1" si="3">+C194/$C$201*100</f>
        <v>0.65507917788470382</v>
      </c>
      <c r="F194" s="183" t="s">
        <v>7</v>
      </c>
      <c r="G194" s="281">
        <f ca="1">+D194*118.7/(118.7+16)</f>
        <v>0.57726724881153935</v>
      </c>
      <c r="L194" s="267">
        <f>+'Bal Mat Fus'!L19^2/4*3.1416*'Bal Mat Fus'!L20*'Bal Mat Red'!L193/1000</f>
        <v>13.095236523599999</v>
      </c>
      <c r="M194" t="s">
        <v>229</v>
      </c>
    </row>
    <row r="195" spans="2:13">
      <c r="B195" s="135" t="s">
        <v>134</v>
      </c>
      <c r="C195" s="224">
        <f ca="1">+F85-C219</f>
        <v>11.432169856519387</v>
      </c>
      <c r="D195" s="244">
        <f t="shared" ca="1" si="3"/>
        <v>16.353543608431977</v>
      </c>
      <c r="F195" s="100" t="s">
        <v>10</v>
      </c>
      <c r="G195" s="282">
        <f ca="1">+D195*55.85/(55.85+16)</f>
        <v>12.71183591553133</v>
      </c>
    </row>
    <row r="196" spans="2:13">
      <c r="B196" s="135" t="s">
        <v>93</v>
      </c>
      <c r="C196" s="224">
        <f>+H18+G50</f>
        <v>21.161912104853506</v>
      </c>
      <c r="D196" s="244">
        <f t="shared" ca="1" si="3"/>
        <v>30.578118472364004</v>
      </c>
      <c r="F196" s="100" t="s">
        <v>93</v>
      </c>
      <c r="G196" s="282">
        <f ca="1">+D196</f>
        <v>30.578118472364004</v>
      </c>
      <c r="J196" s="190" t="s">
        <v>309</v>
      </c>
      <c r="L196" s="331">
        <f ca="1">+C201-L194</f>
        <v>56.81114052990231</v>
      </c>
      <c r="M196" t="s">
        <v>229</v>
      </c>
    </row>
    <row r="197" spans="2:13">
      <c r="B197" s="135" t="s">
        <v>105</v>
      </c>
      <c r="C197" s="224">
        <f>+H19+G51</f>
        <v>8.5098998923528502</v>
      </c>
      <c r="D197" s="244">
        <f t="shared" ca="1" si="3"/>
        <v>12.761052802510985</v>
      </c>
      <c r="F197" s="100" t="s">
        <v>105</v>
      </c>
      <c r="G197" s="282">
        <f ca="1">+D197</f>
        <v>12.761052802510985</v>
      </c>
    </row>
    <row r="198" spans="2:13">
      <c r="B198" s="135" t="s">
        <v>129</v>
      </c>
      <c r="C198" s="224">
        <f>+H20+F88</f>
        <v>14.915701137554322</v>
      </c>
      <c r="D198" s="244">
        <f t="shared" ca="1" si="3"/>
        <v>21.391335264882848</v>
      </c>
      <c r="F198" s="100" t="s">
        <v>129</v>
      </c>
      <c r="G198" s="282">
        <f ca="1">+D198</f>
        <v>21.391335264882848</v>
      </c>
      <c r="J198" s="7" t="s">
        <v>229</v>
      </c>
    </row>
    <row r="199" spans="2:13">
      <c r="B199" s="135" t="s">
        <v>131</v>
      </c>
      <c r="C199" s="224">
        <f>+H21+F91+J36/1000</f>
        <v>0.55952127832600007</v>
      </c>
      <c r="D199" s="244">
        <f t="shared" ca="1" si="3"/>
        <v>0.80038660549920182</v>
      </c>
      <c r="F199" s="100" t="s">
        <v>131</v>
      </c>
      <c r="G199" s="282">
        <f ca="1">+D199</f>
        <v>0.80038660549920182</v>
      </c>
      <c r="I199" s="152" t="s">
        <v>6</v>
      </c>
      <c r="J199" s="171">
        <f ca="1">+H24*C167/100</f>
        <v>0</v>
      </c>
    </row>
    <row r="200" spans="2:13">
      <c r="B200" s="136" t="s">
        <v>103</v>
      </c>
      <c r="C200" s="217">
        <f ca="1">+H36*C158/100</f>
        <v>12.205991828240775</v>
      </c>
      <c r="D200" s="245">
        <f t="shared" ca="1" si="3"/>
        <v>17.460484068426279</v>
      </c>
      <c r="F200" s="260" t="s">
        <v>103</v>
      </c>
      <c r="G200" s="312">
        <f ca="1">+D200+D194*16/(118.7+16)+D195*16/(55.85+16)</f>
        <v>21.180003690400092</v>
      </c>
      <c r="I200" s="135" t="s">
        <v>8</v>
      </c>
      <c r="J200" s="843">
        <f ca="1">+H25*D167/100</f>
        <v>8.481623217862784E-3</v>
      </c>
      <c r="K200">
        <f ca="1">+J200/C201*100</f>
        <v>1.2132831903692331E-2</v>
      </c>
    </row>
    <row r="201" spans="2:13">
      <c r="C201" s="209">
        <f ca="1">+SUM(C194:C200)</f>
        <v>69.906377053502311</v>
      </c>
      <c r="D201" s="200">
        <f ca="1">+SUM(D194:D200)</f>
        <v>100.00000000000001</v>
      </c>
      <c r="F201" s="210"/>
      <c r="G201" s="200">
        <f ca="1">+SUM(G194:G200)</f>
        <v>100</v>
      </c>
      <c r="I201" s="135" t="s">
        <v>9</v>
      </c>
      <c r="J201" s="843">
        <f ca="1">+H26*E167/100</f>
        <v>5.1992571600067858E-2</v>
      </c>
      <c r="K201">
        <f ca="1">+J201/C201*100</f>
        <v>7.437457609951055E-2</v>
      </c>
    </row>
    <row r="202" spans="2:13">
      <c r="I202" s="136" t="s">
        <v>75</v>
      </c>
      <c r="J202" s="138"/>
    </row>
    <row r="203" spans="2:13">
      <c r="B203" s="190" t="s">
        <v>232</v>
      </c>
      <c r="J203" s="267">
        <f ca="1">SUM(J199:J202)</f>
        <v>6.0474194817930642E-2</v>
      </c>
    </row>
    <row r="204" spans="2:13">
      <c r="C204" s="7" t="s">
        <v>229</v>
      </c>
      <c r="D204" s="7" t="s">
        <v>212</v>
      </c>
    </row>
    <row r="205" spans="2:13">
      <c r="B205" s="152" t="s">
        <v>7</v>
      </c>
      <c r="C205" s="906">
        <f ca="1">+C206*F208</f>
        <v>3.7362886318029531</v>
      </c>
      <c r="D205" s="313">
        <f t="shared" ref="D205:D211" ca="1" si="4">+C205/$C$212*100</f>
        <v>71.500000000000099</v>
      </c>
      <c r="G205" s="190" t="s">
        <v>310</v>
      </c>
      <c r="J205" s="344">
        <f ca="1">+C212+'Bal Mat Fus'!C218</f>
        <v>13.224851608635177</v>
      </c>
      <c r="K205" t="s">
        <v>229</v>
      </c>
    </row>
    <row r="206" spans="2:13">
      <c r="B206" s="135" t="s">
        <v>10</v>
      </c>
      <c r="C206" s="224">
        <f>+D142*C151/100</f>
        <v>0.25863921044264954</v>
      </c>
      <c r="D206" s="314">
        <f t="shared" ca="1" si="4"/>
        <v>5.7867300167221618</v>
      </c>
    </row>
    <row r="207" spans="2:13">
      <c r="B207" s="135" t="s">
        <v>6</v>
      </c>
      <c r="C207" s="224">
        <f ca="1">+H24*C166/100</f>
        <v>0</v>
      </c>
      <c r="D207" s="315">
        <f t="shared" ca="1" si="4"/>
        <v>0</v>
      </c>
    </row>
    <row r="208" spans="2:13">
      <c r="B208" s="135" t="s">
        <v>8</v>
      </c>
      <c r="C208" s="224">
        <f ca="1">+H25*D166/100</f>
        <v>3.3926492871451134E-3</v>
      </c>
      <c r="D208" s="315">
        <f t="shared" ca="1" si="4"/>
        <v>6.4923898535596061E-2</v>
      </c>
      <c r="F208" s="395">
        <f ca="1">+F208+H209/50</f>
        <v>12.355855516566953</v>
      </c>
      <c r="H208" s="278">
        <f>+Factores!L23</f>
        <v>71.5</v>
      </c>
    </row>
    <row r="209" spans="2:16">
      <c r="B209" s="135" t="s">
        <v>9</v>
      </c>
      <c r="C209" s="224">
        <f ca="1">+H26*E166/100</f>
        <v>6.2391085920081427E-2</v>
      </c>
      <c r="D209" s="315">
        <f t="shared" ca="1" si="4"/>
        <v>1.1939555754109881</v>
      </c>
      <c r="H209" s="317">
        <f ca="1">+H208-D205</f>
        <v>0</v>
      </c>
    </row>
    <row r="210" spans="2:16">
      <c r="B210" s="135" t="s">
        <v>75</v>
      </c>
      <c r="C210" s="224">
        <f ca="1">+(H27+H28*2*63.5/(2*63.5+32))*F166/100</f>
        <v>1.1480398303636745E-2</v>
      </c>
      <c r="D210" s="315">
        <f t="shared" ca="1" si="4"/>
        <v>0.21969621718275187</v>
      </c>
    </row>
    <row r="211" spans="2:16">
      <c r="B211" s="177" t="s">
        <v>103</v>
      </c>
      <c r="C211" s="249">
        <f ca="1">+H36*C157/100</f>
        <v>1.1096356207491613</v>
      </c>
      <c r="D211" s="218">
        <f t="shared" ca="1" si="4"/>
        <v>21.234694292148408</v>
      </c>
    </row>
    <row r="212" spans="2:16">
      <c r="C212" s="209">
        <f ca="1">+SUM(C205:C211)</f>
        <v>5.2255785060181088</v>
      </c>
      <c r="D212" s="200">
        <f ca="1">+SUM(D205:D211)</f>
        <v>100</v>
      </c>
    </row>
    <row r="214" spans="2:16">
      <c r="B214" s="190" t="s">
        <v>231</v>
      </c>
      <c r="F214" s="190" t="s">
        <v>284</v>
      </c>
    </row>
    <row r="215" spans="2:16">
      <c r="C215" s="7" t="s">
        <v>229</v>
      </c>
      <c r="D215" s="7" t="s">
        <v>212</v>
      </c>
    </row>
    <row r="216" spans="2:16">
      <c r="B216" s="152" t="s">
        <v>136</v>
      </c>
      <c r="C216" s="242">
        <f ca="1">+F73-K113</f>
        <v>3.0418236370540956</v>
      </c>
      <c r="D216" s="243">
        <f t="shared" ref="D216:D224" ca="1" si="5">+C216/$C$225*100</f>
        <v>53.99151051320851</v>
      </c>
      <c r="G216" s="7" t="s">
        <v>229</v>
      </c>
      <c r="H216" s="7" t="s">
        <v>212</v>
      </c>
      <c r="K216" s="7" t="s">
        <v>212</v>
      </c>
    </row>
    <row r="217" spans="2:16">
      <c r="B217" t="s">
        <v>104</v>
      </c>
      <c r="C217" s="200">
        <f ca="1">+O113+O116</f>
        <v>0</v>
      </c>
      <c r="D217" s="244">
        <f t="shared" ca="1" si="5"/>
        <v>0</v>
      </c>
      <c r="F217" s="152" t="s">
        <v>104</v>
      </c>
      <c r="G217" s="242">
        <f ca="1">+X113+X116+C217</f>
        <v>3.4852564887296178</v>
      </c>
      <c r="H217" s="243">
        <f t="shared" ref="H217:H223" ca="1" si="6">+G217/$G$224*100</f>
        <v>58.134039716778972</v>
      </c>
      <c r="J217" t="s">
        <v>7</v>
      </c>
      <c r="K217" s="281">
        <f ca="1">+H217*118.7/(118.7+16*2)</f>
        <v>45.789718078179597</v>
      </c>
      <c r="M217" s="190" t="s">
        <v>311</v>
      </c>
      <c r="O217" s="331">
        <f ca="1">+G224+'Bal Mat Fus'!G230</f>
        <v>14.730551749606155</v>
      </c>
      <c r="P217" t="s">
        <v>229</v>
      </c>
    </row>
    <row r="218" spans="2:16">
      <c r="B218" s="174" t="s">
        <v>133</v>
      </c>
      <c r="C218" s="224">
        <f>+H11+F61+F94+F97-K116</f>
        <v>8.211749760822068E-2</v>
      </c>
      <c r="D218" s="244">
        <f t="shared" ca="1" si="5"/>
        <v>1.457562391660044</v>
      </c>
      <c r="F218" s="135" t="s">
        <v>134</v>
      </c>
      <c r="G218" s="224">
        <f t="shared" ref="G218:G223" si="7">+C219</f>
        <v>7.6053622285425213E-2</v>
      </c>
      <c r="H218" s="244">
        <f t="shared" ca="1" si="6"/>
        <v>1.4831630368331576</v>
      </c>
      <c r="J218" t="s">
        <v>10</v>
      </c>
      <c r="K218" s="282">
        <f ca="1">+H218*55.85/(55.85+16)</f>
        <v>1.1528831678097684</v>
      </c>
    </row>
    <row r="219" spans="2:16">
      <c r="B219" s="135" t="s">
        <v>134</v>
      </c>
      <c r="C219" s="224">
        <f>+D144*D151/100*(55.85+16)/55.85</f>
        <v>7.6053622285425213E-2</v>
      </c>
      <c r="D219" s="244">
        <f t="shared" ca="1" si="5"/>
        <v>1.578281923480201</v>
      </c>
      <c r="F219" s="135" t="s">
        <v>6</v>
      </c>
      <c r="G219" s="224">
        <f t="shared" ca="1" si="7"/>
        <v>7.5719218460090654E-3</v>
      </c>
      <c r="H219" s="244">
        <f t="shared" ca="1" si="6"/>
        <v>0.12629957271485809</v>
      </c>
      <c r="J219" t="s">
        <v>6</v>
      </c>
      <c r="K219" s="282">
        <f ca="1">+H219</f>
        <v>0.12629957271485809</v>
      </c>
    </row>
    <row r="220" spans="2:16">
      <c r="B220" s="135" t="s">
        <v>6</v>
      </c>
      <c r="C220" s="224">
        <f ca="1">+H24*C168/100</f>
        <v>7.5719218460090654E-3</v>
      </c>
      <c r="D220" s="248">
        <f t="shared" ca="1" si="5"/>
        <v>0.13439947437252464</v>
      </c>
      <c r="F220" s="135" t="s">
        <v>8</v>
      </c>
      <c r="G220" s="224">
        <f t="shared" ca="1" si="7"/>
        <v>3.3926492871451134E-3</v>
      </c>
      <c r="H220" s="244">
        <f t="shared" ca="1" si="6"/>
        <v>5.658935261774263E-2</v>
      </c>
      <c r="J220" t="s">
        <v>8</v>
      </c>
      <c r="K220" s="282">
        <f ca="1">+H220</f>
        <v>5.658935261774263E-2</v>
      </c>
    </row>
    <row r="221" spans="2:16">
      <c r="B221" s="135" t="s">
        <v>8</v>
      </c>
      <c r="C221" s="224">
        <f ca="1">+H25*D168/100</f>
        <v>3.3926492871451134E-3</v>
      </c>
      <c r="D221" s="248">
        <f t="shared" ca="1" si="5"/>
        <v>6.0218566725296033E-2</v>
      </c>
      <c r="F221" s="135" t="s">
        <v>9</v>
      </c>
      <c r="G221" s="224">
        <f t="shared" ca="1" si="7"/>
        <v>2.0797028640027145E-2</v>
      </c>
      <c r="H221" s="244">
        <f t="shared" ca="1" si="6"/>
        <v>0.34689420788970859</v>
      </c>
      <c r="J221" t="s">
        <v>9</v>
      </c>
      <c r="K221" s="282">
        <f ca="1">+H221</f>
        <v>0.34689420788970859</v>
      </c>
    </row>
    <row r="222" spans="2:16">
      <c r="B222" s="135" t="s">
        <v>9</v>
      </c>
      <c r="C222" s="224">
        <f ca="1">+H26*E168/100</f>
        <v>2.0797028640027145E-2</v>
      </c>
      <c r="D222" s="248">
        <f t="shared" ca="1" si="5"/>
        <v>0.36914138505050847</v>
      </c>
      <c r="F222" s="135" t="s">
        <v>75</v>
      </c>
      <c r="G222" s="224">
        <f t="shared" ca="1" si="7"/>
        <v>1.1480398303636745E-2</v>
      </c>
      <c r="H222" s="244">
        <f t="shared" ca="1" si="6"/>
        <v>0.19149291683589398</v>
      </c>
      <c r="J222" t="s">
        <v>75</v>
      </c>
      <c r="K222" s="282">
        <f ca="1">+H222</f>
        <v>0.19149291683589398</v>
      </c>
    </row>
    <row r="223" spans="2:16">
      <c r="B223" s="135" t="s">
        <v>75</v>
      </c>
      <c r="C223" s="224">
        <f ca="1">+(H27+H28*2*63.5/(2*63.5+32))*F168/100</f>
        <v>1.1480398303636745E-2</v>
      </c>
      <c r="D223" s="248">
        <f t="shared" ca="1" si="5"/>
        <v>0.20377382769861127</v>
      </c>
      <c r="F223" s="136" t="s">
        <v>103</v>
      </c>
      <c r="G223" s="249">
        <f t="shared" ca="1" si="7"/>
        <v>2.3777906158910596</v>
      </c>
      <c r="H223" s="245">
        <f t="shared" ca="1" si="6"/>
        <v>39.661521196329652</v>
      </c>
      <c r="J223" t="s">
        <v>103</v>
      </c>
      <c r="K223" s="312">
        <f ca="1">+H223+H217*32/(118.7+32)+H218*16/ 71.85</f>
        <v>52.336122703952427</v>
      </c>
    </row>
    <row r="224" spans="2:16">
      <c r="B224" s="136" t="s">
        <v>103</v>
      </c>
      <c r="C224" s="249">
        <f ca="1">+H36*C159/100</f>
        <v>2.3777906158910596</v>
      </c>
      <c r="D224" s="245">
        <f t="shared" ca="1" si="5"/>
        <v>42.205111917804309</v>
      </c>
      <c r="G224" s="209">
        <f ca="1">SUM(G217:G223)</f>
        <v>5.9952078089004424</v>
      </c>
      <c r="H224" s="200">
        <f ca="1">SUM(H217:H223)</f>
        <v>99.999999999999972</v>
      </c>
      <c r="J224" s="210"/>
      <c r="K224" s="200">
        <f ca="1">+SUM(K217:K223)</f>
        <v>100</v>
      </c>
    </row>
    <row r="225" spans="2:21">
      <c r="C225" s="200">
        <f ca="1">+SUM(C216:C224)</f>
        <v>5.6338924548331404</v>
      </c>
      <c r="D225" s="200">
        <f ca="1">+SUM(D216:D224)</f>
        <v>100</v>
      </c>
    </row>
    <row r="226" spans="2:21">
      <c r="O226" t="s">
        <v>515</v>
      </c>
      <c r="R226" s="7" t="s">
        <v>229</v>
      </c>
    </row>
    <row r="227" spans="2:21">
      <c r="B227" s="190" t="s">
        <v>238</v>
      </c>
      <c r="O227" s="297">
        <f>+Factores!L42</f>
        <v>2000</v>
      </c>
      <c r="P227" t="s">
        <v>268</v>
      </c>
      <c r="Q227" s="152" t="s">
        <v>245</v>
      </c>
      <c r="R227" s="243">
        <f>(0.21*(100-L9)/100*O227)*32/22.4/1000*L11</f>
        <v>0.87</v>
      </c>
    </row>
    <row r="228" spans="2:21">
      <c r="C228" s="7" t="s">
        <v>229</v>
      </c>
      <c r="D228" s="7" t="s">
        <v>268</v>
      </c>
      <c r="E228" s="7" t="s">
        <v>241</v>
      </c>
      <c r="G228" s="190" t="s">
        <v>284</v>
      </c>
      <c r="L228" s="404" t="s">
        <v>404</v>
      </c>
      <c r="O228" t="s">
        <v>402</v>
      </c>
      <c r="Q228" s="135" t="s">
        <v>219</v>
      </c>
      <c r="R228" s="244">
        <f>(0.21*(100-L9)/100*79/21*O227)*28/22.4/1000*L11</f>
        <v>2.8637500000000005</v>
      </c>
    </row>
    <row r="229" spans="2:21">
      <c r="B229" s="152" t="s">
        <v>217</v>
      </c>
      <c r="C229" s="258">
        <f ca="1">+G45*44/12+H88+H91+F105+F102+O119+O125</f>
        <v>3.224228199944672</v>
      </c>
      <c r="D229" s="318">
        <f ca="1">+C229*1000*22.4/44/L11</f>
        <v>1132.0174244319851</v>
      </c>
      <c r="E229" s="243">
        <f t="shared" ref="E229:E236" ca="1" si="8">+D229/$D$237*100</f>
        <v>9.5183464175064856</v>
      </c>
      <c r="O229" s="297">
        <f>+macro!I16</f>
        <v>17081.989905026112</v>
      </c>
      <c r="Q229" s="136" t="s">
        <v>150</v>
      </c>
      <c r="R229" s="245">
        <f>+L9/100*O227*18/22.4/1000*L11</f>
        <v>0</v>
      </c>
    </row>
    <row r="230" spans="2:21">
      <c r="B230" s="135" t="s">
        <v>195</v>
      </c>
      <c r="C230" s="252">
        <f ca="1">+H58+H70+H79+H82+F108-D105-M119</f>
        <v>3.7444858849584879</v>
      </c>
      <c r="D230" s="319">
        <f ca="1">+C230*1000*22.4/28/L11</f>
        <v>2065.9232468736486</v>
      </c>
      <c r="E230" s="244">
        <f t="shared" ca="1" si="8"/>
        <v>17.370910298125576</v>
      </c>
      <c r="H230" s="7" t="s">
        <v>229</v>
      </c>
      <c r="I230" s="7" t="s">
        <v>268</v>
      </c>
      <c r="J230" s="7" t="s">
        <v>246</v>
      </c>
      <c r="L230" s="7" t="s">
        <v>229</v>
      </c>
      <c r="M230" s="7" t="s">
        <v>268</v>
      </c>
      <c r="N230" s="7" t="s">
        <v>246</v>
      </c>
      <c r="R230" s="200">
        <f>SUM(R227:R229)</f>
        <v>3.7337500000000006</v>
      </c>
    </row>
    <row r="231" spans="2:21">
      <c r="B231" s="135" t="s">
        <v>219</v>
      </c>
      <c r="C231" s="252">
        <f>+G48+H34+I244*M93</f>
        <v>10.263051615099862</v>
      </c>
      <c r="D231" s="319">
        <f>+C231*1000*22.4/28/L11</f>
        <v>5662.3733048826816</v>
      </c>
      <c r="E231" s="244">
        <f t="shared" ca="1" si="8"/>
        <v>47.610955006419772</v>
      </c>
      <c r="G231" s="152" t="s">
        <v>217</v>
      </c>
      <c r="H231" s="242">
        <f ca="1">+C229+X119+X125</f>
        <v>9.3334741961346701</v>
      </c>
      <c r="I231" s="318">
        <f ca="1">+H231*1000*22.4/44/L11</f>
        <v>3276.9564575770623</v>
      </c>
      <c r="J231" s="313">
        <f t="shared" ref="J231:J236" ca="1" si="9">+I231/$I$237*100</f>
        <v>17.749369779825834</v>
      </c>
      <c r="L231" s="256">
        <f ca="1">+H231+U233</f>
        <v>9.3334741961346701</v>
      </c>
      <c r="M231" s="318">
        <f ca="1">+L231*1000*22.4/44/L11</f>
        <v>3276.9564575770623</v>
      </c>
      <c r="N231" s="401">
        <f t="shared" ref="N231:N236" ca="1" si="10">+M231/$M$237*100</f>
        <v>7.854647304424403</v>
      </c>
    </row>
    <row r="232" spans="2:21">
      <c r="B232" s="135" t="s">
        <v>239</v>
      </c>
      <c r="C232" s="252">
        <f>+G49*2+Q116+O122</f>
        <v>0</v>
      </c>
      <c r="D232" s="319">
        <f>+C232*1000*22.4/64/L11</f>
        <v>0</v>
      </c>
      <c r="E232" s="244">
        <f t="shared" ca="1" si="8"/>
        <v>0</v>
      </c>
      <c r="G232" s="135" t="s">
        <v>195</v>
      </c>
      <c r="H232" s="224">
        <f ca="1">+C230-V119</f>
        <v>0</v>
      </c>
      <c r="I232" s="319">
        <f ca="1">+H232*1000*22.4/28/L11</f>
        <v>0</v>
      </c>
      <c r="J232" s="314">
        <f t="shared" ca="1" si="9"/>
        <v>0</v>
      </c>
      <c r="L232" s="257">
        <f ca="1">+H232-S233</f>
        <v>0</v>
      </c>
      <c r="M232" s="319">
        <f ca="1">+L232*1000*22.4/28/L11</f>
        <v>0</v>
      </c>
      <c r="N232" s="402">
        <f t="shared" ca="1" si="10"/>
        <v>0</v>
      </c>
      <c r="Q232" s="7" t="s">
        <v>243</v>
      </c>
      <c r="R232" s="208" t="s">
        <v>193</v>
      </c>
      <c r="S232" s="7" t="s">
        <v>195</v>
      </c>
      <c r="T232" s="263" t="s">
        <v>194</v>
      </c>
      <c r="U232" s="7" t="s">
        <v>217</v>
      </c>
    </row>
    <row r="233" spans="2:21">
      <c r="B233" s="135" t="s">
        <v>150</v>
      </c>
      <c r="C233" s="252">
        <f>+G52+H37+G46*18/2+H102+Q125+I245*M100</f>
        <v>3.4473134237110497</v>
      </c>
      <c r="D233" s="319">
        <f>+C233*1000*22.4/18/L11</f>
        <v>2958.6138195834292</v>
      </c>
      <c r="E233" s="244">
        <f t="shared" ca="1" si="8"/>
        <v>24.876923837588084</v>
      </c>
      <c r="G233" s="135" t="s">
        <v>219</v>
      </c>
      <c r="H233" s="224">
        <f>+C231+I244*M94</f>
        <v>21.43167661509986</v>
      </c>
      <c r="I233" s="319">
        <f>+H233*1000*22.4/28/L11</f>
        <v>11824.373304882678</v>
      </c>
      <c r="J233" s="314">
        <f t="shared" ca="1" si="9"/>
        <v>64.045762255334566</v>
      </c>
      <c r="L233" s="257">
        <f>+H233+R228</f>
        <v>24.29542661509986</v>
      </c>
      <c r="M233" s="319">
        <f>+L233*1000*22.4/28/L11</f>
        <v>13404.373304882682</v>
      </c>
      <c r="N233" s="402">
        <f t="shared" ca="1" si="10"/>
        <v>32.129393847528483</v>
      </c>
      <c r="Q233" s="209">
        <f ca="1">IF(H232*16/28&gt;R227,R227,H232*16/28)</f>
        <v>0</v>
      </c>
      <c r="R233" s="7"/>
      <c r="S233" s="200">
        <f ca="1">+Q233*1.75</f>
        <v>0</v>
      </c>
      <c r="T233" s="200"/>
      <c r="U233" s="200">
        <f ca="1">+Q233*2.75</f>
        <v>0</v>
      </c>
    </row>
    <row r="234" spans="2:21">
      <c r="B234" s="174" t="s">
        <v>216</v>
      </c>
      <c r="C234" s="252">
        <f>+B125-K125</f>
        <v>7.6722917473374078E-2</v>
      </c>
      <c r="D234" s="319">
        <f>+C234*1000*22.4/16/L11</f>
        <v>74.077299629464633</v>
      </c>
      <c r="E234" s="244">
        <f t="shared" ca="1" si="8"/>
        <v>0.62286444036006383</v>
      </c>
      <c r="G234" s="135" t="s">
        <v>239</v>
      </c>
      <c r="H234" s="224">
        <f>+C232+X122+Z116</f>
        <v>3.4874053396988215E-2</v>
      </c>
      <c r="I234" s="319">
        <f>+H234*1000*22.4/64/L11</f>
        <v>8.4178749578937069</v>
      </c>
      <c r="J234" s="314">
        <f t="shared" ca="1" si="9"/>
        <v>4.5594739302231811E-2</v>
      </c>
      <c r="L234" s="257">
        <f>+H234</f>
        <v>3.4874053396988215E-2</v>
      </c>
      <c r="M234" s="319">
        <f>+L234*1000*22.4/64/L11</f>
        <v>8.4178749578937069</v>
      </c>
      <c r="N234" s="402">
        <f t="shared" ca="1" si="10"/>
        <v>2.0177088009246641E-2</v>
      </c>
    </row>
    <row r="235" spans="2:21">
      <c r="B235" s="174" t="s">
        <v>245</v>
      </c>
      <c r="C235" s="252">
        <f ca="1">+N45*C176/100+I243*M93-(M113+M116+K119+M122+M125)</f>
        <v>0</v>
      </c>
      <c r="D235" s="319">
        <f ca="1">+C235*1000*22.4/32/L11</f>
        <v>0</v>
      </c>
      <c r="E235" s="244">
        <f t="shared" ca="1" si="8"/>
        <v>0</v>
      </c>
      <c r="G235" s="135" t="s">
        <v>150</v>
      </c>
      <c r="H235" s="224">
        <f>+C233+Z125+I245*M101</f>
        <v>3.5854146751631228</v>
      </c>
      <c r="I235" s="319">
        <f>+H235*1000*22.4/18/L11</f>
        <v>3077.137498990573</v>
      </c>
      <c r="J235" s="314">
        <f t="shared" ca="1" si="9"/>
        <v>16.667066541779864</v>
      </c>
      <c r="L235" s="257">
        <f>+H235+O229/1000*L11+R229</f>
        <v>28.354300037450983</v>
      </c>
      <c r="M235" s="319">
        <f>+L235*1000*22.4/18/L11</f>
        <v>24334.724936356401</v>
      </c>
      <c r="N235" s="402">
        <f t="shared" ca="1" si="10"/>
        <v>58.328721818472971</v>
      </c>
    </row>
    <row r="236" spans="2:21">
      <c r="B236" s="136" t="s">
        <v>240</v>
      </c>
      <c r="C236" s="249">
        <f>+J61-K122</f>
        <v>0</v>
      </c>
      <c r="D236" s="320">
        <f>+C236*1000*22.4/64/L11</f>
        <v>0</v>
      </c>
      <c r="E236" s="245">
        <f t="shared" ca="1" si="8"/>
        <v>0</v>
      </c>
      <c r="G236" s="177" t="s">
        <v>245</v>
      </c>
      <c r="H236" s="249">
        <f ca="1">+I243+N45*C176/100-D113-D116-B119-D122-D125</f>
        <v>0.57067214732550153</v>
      </c>
      <c r="I236" s="320">
        <f ca="1">+H236*1000*22.4/32/L11</f>
        <v>275.49689870886283</v>
      </c>
      <c r="J236" s="218">
        <f t="shared" ca="1" si="9"/>
        <v>1.4922066837575108</v>
      </c>
      <c r="L236" s="271">
        <f ca="1">+H236+R227-Q233</f>
        <v>1.4406721473255015</v>
      </c>
      <c r="M236" s="320">
        <f ca="1">+L236*1000*22.4/32/L11</f>
        <v>695.49689870886277</v>
      </c>
      <c r="N236" s="403">
        <f t="shared" ca="1" si="10"/>
        <v>1.6670599415648883</v>
      </c>
    </row>
    <row r="237" spans="2:21">
      <c r="C237" s="262">
        <f ca="1">+SUM(C229:C236)</f>
        <v>20.755802041187451</v>
      </c>
      <c r="D237" s="321">
        <f ca="1">+SUM(D229:D236)</f>
        <v>11893.005095401211</v>
      </c>
      <c r="E237" s="262">
        <f ca="1">+SUM(E229:E236)</f>
        <v>99.999999999999972</v>
      </c>
      <c r="H237" s="209">
        <f ca="1">SUM(H231:H236)</f>
        <v>34.956111687120142</v>
      </c>
      <c r="I237" s="322">
        <f ca="1">SUM(I231:I236)</f>
        <v>18462.382035117069</v>
      </c>
      <c r="J237" s="200">
        <f ca="1">SUM(J231:J236)</f>
        <v>100.00000000000001</v>
      </c>
      <c r="M237" s="391">
        <f ca="1">SUM(M231:M236)</f>
        <v>41719.969472482902</v>
      </c>
    </row>
    <row r="241" spans="2:166">
      <c r="B241" t="s">
        <v>249</v>
      </c>
      <c r="D241" s="641">
        <f>+Principal!Q71</f>
        <v>6800</v>
      </c>
      <c r="E241" t="s">
        <v>236</v>
      </c>
      <c r="F241" s="134">
        <f>+D241*L11</f>
        <v>9860</v>
      </c>
      <c r="G241" t="s">
        <v>237</v>
      </c>
      <c r="H241" t="s">
        <v>285</v>
      </c>
    </row>
    <row r="242" spans="2:166">
      <c r="B242" t="s">
        <v>250</v>
      </c>
      <c r="D242" s="641">
        <f>+Principal!Q73</f>
        <v>1000</v>
      </c>
      <c r="E242" t="s">
        <v>236</v>
      </c>
      <c r="F242" s="134">
        <f>+D242*L11</f>
        <v>1450</v>
      </c>
      <c r="G242" t="s">
        <v>237</v>
      </c>
      <c r="I242" s="7" t="s">
        <v>229</v>
      </c>
    </row>
    <row r="243" spans="2:166">
      <c r="B243" t="s">
        <v>251</v>
      </c>
      <c r="D243" s="134">
        <f>+D242+D241</f>
        <v>7800</v>
      </c>
      <c r="E243" t="s">
        <v>236</v>
      </c>
      <c r="F243" s="134">
        <f>+F242+F241</f>
        <v>11310</v>
      </c>
      <c r="G243" t="s">
        <v>237</v>
      </c>
      <c r="H243" s="152" t="s">
        <v>245</v>
      </c>
      <c r="I243" s="259">
        <f>(0.21*(100-L9)/100*F243)*32/22.4/1000</f>
        <v>3.3929999999999998</v>
      </c>
      <c r="K243" t="s">
        <v>286</v>
      </c>
    </row>
    <row r="244" spans="2:166">
      <c r="H244" s="135" t="s">
        <v>219</v>
      </c>
      <c r="I244" s="253">
        <f>(0.21*(100-L9)/100*79/21*F243)*28/22.4/1000</f>
        <v>11.168625</v>
      </c>
      <c r="K244" s="317">
        <f ca="1">+C230*16/28</f>
        <v>2.1397062199762789</v>
      </c>
      <c r="L244" t="s">
        <v>229</v>
      </c>
    </row>
    <row r="245" spans="2:166">
      <c r="H245" s="136" t="s">
        <v>150</v>
      </c>
      <c r="I245" s="268">
        <f>+L9/100*F243*18/22.4/1000</f>
        <v>0</v>
      </c>
    </row>
    <row r="246" spans="2:166">
      <c r="I246" s="262">
        <f>SUM(I243:I245)</f>
        <v>14.561624999999999</v>
      </c>
      <c r="K246" s="210">
        <f ca="1">+(H58+H70+H79+H82+F108-D105)*16/28</f>
        <v>2.1397062199762789</v>
      </c>
    </row>
    <row r="248" spans="2:166" ht="15.6">
      <c r="B248" s="158" t="s">
        <v>287</v>
      </c>
    </row>
    <row r="251" spans="2:166">
      <c r="B251" s="134"/>
      <c r="C251" s="212" t="s">
        <v>7</v>
      </c>
      <c r="D251" s="212" t="s">
        <v>10</v>
      </c>
      <c r="E251" s="212" t="s">
        <v>93</v>
      </c>
      <c r="F251" s="212" t="s">
        <v>105</v>
      </c>
      <c r="G251" s="212" t="s">
        <v>129</v>
      </c>
      <c r="H251" s="212" t="s">
        <v>131</v>
      </c>
      <c r="I251" s="212" t="s">
        <v>150</v>
      </c>
      <c r="J251" s="212" t="s">
        <v>103</v>
      </c>
      <c r="K251" s="212" t="s">
        <v>158</v>
      </c>
      <c r="L251" s="212" t="s">
        <v>5</v>
      </c>
      <c r="M251" s="212" t="s">
        <v>156</v>
      </c>
      <c r="N251" s="212" t="s">
        <v>111</v>
      </c>
      <c r="O251" s="212" t="s">
        <v>6</v>
      </c>
      <c r="P251" s="212" t="s">
        <v>8</v>
      </c>
      <c r="Q251" s="212" t="s">
        <v>9</v>
      </c>
      <c r="R251" s="213" t="s">
        <v>75</v>
      </c>
    </row>
    <row r="252" spans="2:166">
      <c r="B252" s="183" t="s">
        <v>288</v>
      </c>
      <c r="C252" s="242">
        <f ca="1">+H9*118.7/(118.7+16*2)+H10*118.7/(118.7+16)+H11*118.7/(118.7+32)+H12+H13*118.7*2/(118.7*2+55.85)+L25</f>
        <v>19.001899343538561</v>
      </c>
      <c r="D252" s="242">
        <f ca="1">+H13*55.85/(55.85+2*118.7)+H14*2*55.85/(2*55.85+16*3)+H15*55.85/(55.85+64)+H16*55.85/71.85+H17</f>
        <v>9.4388561727676432</v>
      </c>
      <c r="E252" s="242">
        <f>+H18+L27+G50</f>
        <v>21.161912104853506</v>
      </c>
      <c r="F252" s="242">
        <f>+H19+L28+G51</f>
        <v>8.5098998923528502</v>
      </c>
      <c r="G252" s="242">
        <f>+H20+H22*0.56+L29</f>
        <v>14.915701137554322</v>
      </c>
      <c r="H252" s="242">
        <f>+H21+H23*(24.3+16)/(24.3+12+16*3)+L30+J36/1000</f>
        <v>0.55952127832600007</v>
      </c>
      <c r="I252" s="242">
        <f>+H37+G52+H32*3*18/30+G46*18/2+I245</f>
        <v>3.5854146751631233</v>
      </c>
      <c r="J252" s="242">
        <f ca="1">+H36+L31-L25*16/ 118.7-L26*16/ 55.85</f>
        <v>15.851937439273732</v>
      </c>
      <c r="K252" s="242">
        <f>+H34+G48+I244</f>
        <v>21.43167661509986</v>
      </c>
      <c r="L252" s="242">
        <f>+H35+H28*32/(2*63.5+32)+H15*64/(64+55.85)+H11*32/(118.7+32)+G49</f>
        <v>1.7437026698494108E-2</v>
      </c>
      <c r="M252" s="242">
        <f>+H22*12/ 100+H23*12/ 84.3+H31+H32*24/ 30+G45</f>
        <v>2.5446188705897139</v>
      </c>
      <c r="N252" s="242">
        <f>+H9*32/(118.7+32)+H10*16/(118.7+16)+H14*16*3/(55.85*2+16*3)+H16*16/ 71.85+H22*32/100+H23*32/84.3+G47+I243+H33</f>
        <v>13.729880102192324</v>
      </c>
      <c r="O252" s="326">
        <f ca="1">+H24</f>
        <v>1.5143843692018131E-2</v>
      </c>
      <c r="P252" s="326">
        <f ca="1">+H25</f>
        <v>3.3926492871451136E-2</v>
      </c>
      <c r="Q252" s="326">
        <f ca="1">+H26</f>
        <v>0.20797028640027143</v>
      </c>
      <c r="R252" s="327">
        <f ca="1">+H27+H28*2*63.5/ 159</f>
        <v>0.11480398303636745</v>
      </c>
      <c r="S252" s="251"/>
      <c r="T252" s="251"/>
      <c r="U252" s="251"/>
      <c r="V252" s="251"/>
      <c r="W252" s="251"/>
      <c r="X252" s="251"/>
      <c r="Y252" s="251"/>
      <c r="Z252" s="251"/>
      <c r="AA252" s="251"/>
      <c r="AB252" s="251"/>
      <c r="AC252" s="251"/>
      <c r="AD252" s="251"/>
      <c r="AE252" s="251"/>
      <c r="AF252" s="251"/>
      <c r="AG252" s="251"/>
      <c r="AH252" s="251"/>
      <c r="AI252" s="251"/>
      <c r="AJ252" s="251"/>
      <c r="AK252" s="251"/>
      <c r="AL252" s="251"/>
      <c r="AM252" s="251"/>
      <c r="AN252" s="251"/>
      <c r="AO252" s="251"/>
      <c r="AP252" s="251"/>
      <c r="AQ252" s="251"/>
      <c r="AR252" s="251"/>
      <c r="AS252" s="251"/>
      <c r="AT252" s="251"/>
      <c r="AU252" s="251"/>
      <c r="AV252" s="251"/>
      <c r="AW252" s="251"/>
      <c r="AX252" s="251"/>
      <c r="AY252" s="251"/>
      <c r="AZ252" s="251"/>
      <c r="BA252" s="251"/>
      <c r="BB252" s="251"/>
      <c r="BC252" s="251"/>
      <c r="BD252" s="251"/>
      <c r="BE252" s="251"/>
      <c r="BF252" s="251"/>
      <c r="BG252" s="251"/>
      <c r="BH252" s="251"/>
      <c r="BI252" s="251"/>
      <c r="BJ252" s="251"/>
      <c r="BK252" s="251"/>
      <c r="BL252" s="251"/>
      <c r="BM252" s="251"/>
      <c r="BN252" s="251"/>
      <c r="BO252" s="251"/>
      <c r="BP252" s="251"/>
      <c r="BQ252" s="251"/>
      <c r="BR252" s="251"/>
      <c r="BS252" s="251"/>
      <c r="BT252" s="251"/>
      <c r="BU252" s="251"/>
      <c r="BV252" s="251"/>
      <c r="BW252" s="251"/>
      <c r="BX252" s="251"/>
      <c r="BY252" s="251"/>
      <c r="BZ252" s="251"/>
      <c r="CA252" s="251"/>
      <c r="CB252" s="251"/>
      <c r="CC252" s="251"/>
      <c r="CD252" s="251"/>
      <c r="CE252" s="251"/>
      <c r="CF252" s="251"/>
      <c r="CG252" s="251"/>
      <c r="CH252" s="251"/>
      <c r="CI252" s="251"/>
      <c r="CJ252" s="251"/>
      <c r="CK252" s="251"/>
      <c r="CL252" s="251"/>
      <c r="CM252" s="251"/>
      <c r="CN252" s="251"/>
      <c r="CO252" s="251"/>
      <c r="CP252" s="251"/>
      <c r="CQ252" s="251"/>
      <c r="CR252" s="251"/>
      <c r="CS252" s="251"/>
      <c r="CT252" s="251"/>
      <c r="CU252" s="251"/>
      <c r="CV252" s="251"/>
      <c r="CW252" s="251"/>
      <c r="CX252" s="251"/>
      <c r="CY252" s="251"/>
      <c r="CZ252" s="251"/>
      <c r="DA252" s="251"/>
      <c r="DB252" s="251"/>
      <c r="DC252" s="251"/>
      <c r="DD252" s="251"/>
      <c r="DE252" s="251"/>
      <c r="DF252" s="251"/>
      <c r="DG252" s="251"/>
      <c r="DH252" s="251"/>
      <c r="DI252" s="251"/>
      <c r="DJ252" s="251"/>
      <c r="DK252" s="251"/>
      <c r="DL252" s="251"/>
      <c r="DM252" s="251"/>
      <c r="DN252" s="251"/>
      <c r="DO252" s="251"/>
      <c r="DP252" s="251"/>
      <c r="DQ252" s="251"/>
      <c r="DR252" s="251"/>
      <c r="DS252" s="251"/>
      <c r="DT252" s="251"/>
      <c r="DU252" s="251"/>
      <c r="DV252" s="251"/>
      <c r="DW252" s="251"/>
      <c r="DX252" s="251"/>
      <c r="DY252" s="251"/>
      <c r="DZ252" s="251"/>
      <c r="EA252" s="251"/>
      <c r="EB252" s="251"/>
      <c r="EC252" s="251"/>
      <c r="ED252" s="251"/>
      <c r="EE252" s="251"/>
      <c r="EF252" s="251"/>
      <c r="EG252" s="251"/>
      <c r="EH252" s="251"/>
      <c r="EI252" s="251"/>
      <c r="EJ252" s="251"/>
      <c r="EK252" s="251"/>
      <c r="EL252" s="251"/>
      <c r="EM252" s="251"/>
      <c r="EN252" s="251"/>
      <c r="EO252" s="251"/>
      <c r="EP252" s="251"/>
      <c r="EQ252" s="251"/>
      <c r="ER252" s="251"/>
      <c r="ES252" s="251"/>
      <c r="ET252" s="251"/>
      <c r="EU252" s="251"/>
      <c r="EV252" s="251"/>
      <c r="EW252" s="251"/>
      <c r="EX252" s="251"/>
      <c r="EY252" s="251"/>
      <c r="EZ252" s="251"/>
      <c r="FA252" s="251"/>
      <c r="FB252" s="251"/>
      <c r="FC252" s="251"/>
      <c r="FD252" s="251"/>
      <c r="FE252" s="251"/>
      <c r="FF252" s="251"/>
      <c r="FG252" s="251"/>
      <c r="FH252" s="251"/>
      <c r="FI252" s="251"/>
      <c r="FJ252" s="251"/>
    </row>
    <row r="253" spans="2:166">
      <c r="B253" s="100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36"/>
      <c r="P253" s="236"/>
      <c r="Q253" s="236"/>
      <c r="R253" s="240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/>
      <c r="CQ253" s="7"/>
      <c r="CR253" s="7"/>
      <c r="CS253" s="7"/>
      <c r="CT253" s="7"/>
      <c r="CU253" s="7"/>
      <c r="CV253" s="7"/>
      <c r="CW253" s="7"/>
      <c r="CX253" s="7"/>
      <c r="CY253" s="7"/>
      <c r="CZ253" s="7"/>
      <c r="DA253" s="7"/>
      <c r="DB253" s="7"/>
      <c r="DC253" s="7"/>
      <c r="DD253" s="7"/>
      <c r="DE253" s="7"/>
      <c r="DF253" s="7"/>
      <c r="DG253" s="7"/>
      <c r="DH253" s="7"/>
      <c r="DI253" s="7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7"/>
      <c r="EB253" s="7"/>
      <c r="EC253" s="7"/>
      <c r="ED253" s="7"/>
      <c r="EE253" s="7"/>
      <c r="EF253" s="7"/>
      <c r="EG253" s="7"/>
      <c r="EH253" s="7"/>
      <c r="EI253" s="7"/>
      <c r="EJ253" s="7"/>
      <c r="EK253" s="7"/>
      <c r="EL253" s="7"/>
      <c r="EM253" s="7"/>
      <c r="EN253" s="7"/>
      <c r="EO253" s="7"/>
      <c r="EP253" s="7"/>
      <c r="EQ253" s="7"/>
      <c r="ER253" s="7"/>
      <c r="ES253" s="7"/>
      <c r="ET253" s="7"/>
      <c r="EU253" s="7"/>
      <c r="EV253" s="7"/>
      <c r="EW253" s="7"/>
      <c r="EX253" s="7"/>
      <c r="EY253" s="7"/>
      <c r="EZ253" s="7"/>
      <c r="FA253" s="7"/>
      <c r="FB253" s="7"/>
      <c r="FC253" s="7"/>
      <c r="FD253" s="7"/>
      <c r="FE253" s="7"/>
      <c r="FF253" s="7"/>
      <c r="FG253" s="7"/>
      <c r="FH253" s="7"/>
      <c r="FI253" s="7"/>
      <c r="FJ253" s="7"/>
    </row>
    <row r="254" spans="2:166">
      <c r="B254" s="100" t="s">
        <v>289</v>
      </c>
      <c r="C254" s="224">
        <f ca="1">+(C216+C194)*118.7/(118.7+16)+C184+C205+C218*118.7/(118.7+32)+C217*118.7/(118.7+2*16)</f>
        <v>19.001899343538561</v>
      </c>
      <c r="D254" s="224">
        <f ca="1">+C206+C185+(C195+C219)*55.85/71.85</f>
        <v>9.4393258791661001</v>
      </c>
      <c r="E254" s="224">
        <f>+C196</f>
        <v>21.161912104853506</v>
      </c>
      <c r="F254" s="224">
        <f>+C197</f>
        <v>8.5098998923528502</v>
      </c>
      <c r="G254" s="224">
        <f>+C198</f>
        <v>14.915701137554322</v>
      </c>
      <c r="H254" s="224">
        <f>+C199</f>
        <v>0.55952127832600007</v>
      </c>
      <c r="I254" s="224">
        <f>+H235</f>
        <v>3.5854146751631228</v>
      </c>
      <c r="J254" s="224">
        <f ca="1">+C190+C200+C211+G223</f>
        <v>15.851937439273733</v>
      </c>
      <c r="K254" s="224">
        <f>+H233</f>
        <v>21.43167661509986</v>
      </c>
      <c r="L254" s="224">
        <f>+H234/2</f>
        <v>1.7437026698494108E-2</v>
      </c>
      <c r="M254" s="224">
        <f ca="1">+H231*0.272727272727273+H232*0.428571428571429</f>
        <v>2.5454929625821827</v>
      </c>
      <c r="N254" s="224">
        <f ca="1">+C194*16/ 134.7+C195*16/ 71.85+G217*32/ 150.7+G218*16/ 71.85+H231*32/ 44+H232*16/ 28+H234/ 2+(H235-H37-G52-I245)*16/ 18+H236</f>
        <v>13.841599052143808</v>
      </c>
      <c r="O254" s="180">
        <f ca="1">+C186+C207+G219</f>
        <v>1.5143843692018131E-2</v>
      </c>
      <c r="P254" s="180">
        <f ca="1">+C187+C208+C221</f>
        <v>2.5444869653588352E-2</v>
      </c>
      <c r="Q254" s="180">
        <f ca="1">+C188+C209+C222</f>
        <v>0.15597771480020356</v>
      </c>
      <c r="R254" s="181">
        <f ca="1">+C189+C210+C223</f>
        <v>0.11480398303636745</v>
      </c>
      <c r="S254" s="251"/>
      <c r="T254" s="251"/>
      <c r="U254" s="251"/>
      <c r="V254" s="251"/>
      <c r="W254" s="251"/>
      <c r="X254" s="251"/>
      <c r="Y254" s="251"/>
      <c r="Z254" s="251"/>
      <c r="AA254" s="251"/>
      <c r="AB254" s="251"/>
      <c r="AC254" s="251"/>
      <c r="AD254" s="251"/>
      <c r="AE254" s="251"/>
      <c r="AF254" s="251"/>
      <c r="AG254" s="251"/>
      <c r="AH254" s="251"/>
      <c r="AI254" s="251"/>
      <c r="AJ254" s="251"/>
      <c r="AK254" s="251"/>
      <c r="AL254" s="251"/>
      <c r="AM254" s="251"/>
      <c r="AN254" s="251"/>
      <c r="AO254" s="251"/>
      <c r="AP254" s="251"/>
      <c r="AQ254" s="251"/>
      <c r="AR254" s="251"/>
      <c r="AS254" s="251"/>
      <c r="AT254" s="251"/>
      <c r="AU254" s="251"/>
      <c r="AV254" s="251"/>
      <c r="AW254" s="251"/>
      <c r="AX254" s="251"/>
      <c r="AY254" s="251"/>
      <c r="AZ254" s="251"/>
      <c r="BA254" s="251"/>
      <c r="BB254" s="251"/>
      <c r="BC254" s="251"/>
      <c r="BD254" s="251"/>
      <c r="BE254" s="251"/>
      <c r="BF254" s="251"/>
      <c r="BG254" s="251"/>
      <c r="BH254" s="251"/>
      <c r="BI254" s="251"/>
      <c r="BJ254" s="251"/>
      <c r="BK254" s="251"/>
      <c r="BL254" s="251"/>
      <c r="BM254" s="251"/>
      <c r="BN254" s="251"/>
      <c r="BO254" s="251"/>
      <c r="BP254" s="251"/>
      <c r="BQ254" s="251"/>
      <c r="BR254" s="251"/>
      <c r="BS254" s="251"/>
      <c r="BT254" s="251"/>
      <c r="BU254" s="251"/>
      <c r="BV254" s="251"/>
      <c r="BW254" s="251"/>
      <c r="BX254" s="251"/>
      <c r="BY254" s="251"/>
      <c r="BZ254" s="251"/>
      <c r="CA254" s="251"/>
      <c r="CB254" s="251"/>
      <c r="CC254" s="251"/>
      <c r="CD254" s="251"/>
      <c r="CE254" s="251"/>
      <c r="CF254" s="251"/>
      <c r="CG254" s="251"/>
      <c r="CH254" s="251"/>
      <c r="CI254" s="251"/>
      <c r="CJ254" s="251"/>
      <c r="CK254" s="251"/>
      <c r="CL254" s="251"/>
      <c r="CM254" s="251"/>
      <c r="CN254" s="251"/>
      <c r="CO254" s="251"/>
      <c r="CP254" s="251"/>
      <c r="CQ254" s="251"/>
      <c r="CR254" s="251"/>
      <c r="CS254" s="251"/>
      <c r="CT254" s="251"/>
      <c r="CU254" s="251"/>
      <c r="CV254" s="251"/>
      <c r="CW254" s="251"/>
      <c r="CX254" s="251"/>
      <c r="CY254" s="251"/>
      <c r="CZ254" s="251"/>
      <c r="DA254" s="251"/>
      <c r="DB254" s="251"/>
      <c r="DC254" s="251"/>
      <c r="DD254" s="251"/>
      <c r="DE254" s="251"/>
      <c r="DF254" s="251"/>
      <c r="DG254" s="251"/>
      <c r="DH254" s="251"/>
      <c r="DI254" s="251"/>
      <c r="DJ254" s="251"/>
      <c r="DK254" s="251"/>
      <c r="DL254" s="251"/>
      <c r="DM254" s="251"/>
      <c r="DN254" s="251"/>
      <c r="DO254" s="251"/>
      <c r="DP254" s="251"/>
      <c r="DQ254" s="251"/>
      <c r="DR254" s="251"/>
      <c r="DS254" s="251"/>
      <c r="DT254" s="251"/>
      <c r="DU254" s="251"/>
      <c r="DV254" s="251"/>
      <c r="DW254" s="251"/>
      <c r="DX254" s="251"/>
      <c r="DY254" s="251"/>
      <c r="DZ254" s="251"/>
      <c r="EA254" s="251"/>
      <c r="EB254" s="251"/>
      <c r="EC254" s="251"/>
      <c r="ED254" s="251"/>
      <c r="EE254" s="251"/>
      <c r="EF254" s="251"/>
      <c r="EG254" s="251"/>
      <c r="EH254" s="251"/>
      <c r="EI254" s="251"/>
      <c r="EJ254" s="251"/>
      <c r="EK254" s="251"/>
      <c r="EL254" s="251"/>
      <c r="EM254" s="251"/>
      <c r="EN254" s="251"/>
      <c r="EO254" s="251"/>
      <c r="EP254" s="251"/>
      <c r="EQ254" s="251"/>
      <c r="ER254" s="251"/>
      <c r="ES254" s="251"/>
      <c r="ET254" s="251"/>
      <c r="EU254" s="251"/>
      <c r="EV254" s="251"/>
      <c r="EW254" s="251"/>
      <c r="EX254" s="251"/>
      <c r="EY254" s="251"/>
      <c r="EZ254" s="251"/>
      <c r="FA254" s="251"/>
      <c r="FB254" s="251"/>
      <c r="FC254" s="251"/>
      <c r="FD254" s="251"/>
      <c r="FE254" s="251"/>
      <c r="FF254" s="251"/>
      <c r="FG254" s="251"/>
      <c r="FH254" s="251"/>
      <c r="FI254" s="251"/>
      <c r="FJ254" s="251"/>
    </row>
    <row r="255" spans="2:166">
      <c r="B255" s="100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36"/>
      <c r="P255" s="236"/>
      <c r="Q255" s="236"/>
      <c r="R255" s="240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/>
      <c r="CQ255" s="7"/>
      <c r="CR255" s="7"/>
      <c r="CS255" s="7"/>
      <c r="CT255" s="7"/>
      <c r="CU255" s="7"/>
      <c r="CV255" s="7"/>
      <c r="CW255" s="7"/>
      <c r="CX255" s="7"/>
      <c r="CY255" s="7"/>
      <c r="CZ255" s="7"/>
      <c r="DA255" s="7"/>
      <c r="DB255" s="7"/>
      <c r="DC255" s="7"/>
      <c r="DD255" s="7"/>
      <c r="DE255" s="7"/>
      <c r="DF255" s="7"/>
      <c r="DG255" s="7"/>
      <c r="DH255" s="7"/>
      <c r="DI255" s="7"/>
      <c r="DJ255" s="7"/>
      <c r="DK255" s="7"/>
      <c r="DL255" s="7"/>
      <c r="DM255" s="7"/>
      <c r="DN255" s="7"/>
      <c r="DO255" s="7"/>
      <c r="DP255" s="7"/>
      <c r="DQ255" s="7"/>
      <c r="DR255" s="7"/>
      <c r="DS255" s="7"/>
      <c r="DT255" s="7"/>
      <c r="DU255" s="7"/>
      <c r="DV255" s="7"/>
      <c r="DW255" s="7"/>
      <c r="DX255" s="7"/>
      <c r="DY255" s="7"/>
      <c r="DZ255" s="7"/>
      <c r="EA255" s="7"/>
      <c r="EB255" s="7"/>
      <c r="EC255" s="7"/>
      <c r="ED255" s="7"/>
      <c r="EE255" s="7"/>
      <c r="EF255" s="7"/>
      <c r="EG255" s="7"/>
      <c r="EH255" s="7"/>
      <c r="EI255" s="7"/>
      <c r="EJ255" s="7"/>
      <c r="EK255" s="7"/>
      <c r="EL255" s="7"/>
      <c r="EM255" s="7"/>
      <c r="EN255" s="7"/>
      <c r="EO255" s="7"/>
      <c r="EP255" s="7"/>
      <c r="EQ255" s="7"/>
      <c r="ER255" s="7"/>
      <c r="ES255" s="7"/>
      <c r="ET255" s="7"/>
      <c r="EU255" s="7"/>
      <c r="EV255" s="7"/>
      <c r="EW255" s="7"/>
      <c r="EX255" s="7"/>
      <c r="EY255" s="7"/>
      <c r="EZ255" s="7"/>
      <c r="FA255" s="7"/>
      <c r="FB255" s="7"/>
      <c r="FC255" s="7"/>
      <c r="FD255" s="7"/>
      <c r="FE255" s="7"/>
      <c r="FF255" s="7"/>
      <c r="FG255" s="7"/>
      <c r="FH255" s="7"/>
      <c r="FI255" s="7"/>
      <c r="FJ255" s="7"/>
    </row>
    <row r="256" spans="2:166">
      <c r="B256" s="231" t="s">
        <v>290</v>
      </c>
      <c r="C256" s="172">
        <f t="shared" ref="C256:R256" ca="1" si="11">+C254-C252</f>
        <v>0</v>
      </c>
      <c r="D256" s="172">
        <f t="shared" ca="1" si="11"/>
        <v>4.6970639845689277E-4</v>
      </c>
      <c r="E256" s="172">
        <f t="shared" si="11"/>
        <v>0</v>
      </c>
      <c r="F256" s="172">
        <f t="shared" si="11"/>
        <v>0</v>
      </c>
      <c r="G256" s="172">
        <f t="shared" si="11"/>
        <v>0</v>
      </c>
      <c r="H256" s="172">
        <f t="shared" si="11"/>
        <v>0</v>
      </c>
      <c r="I256" s="172">
        <f t="shared" si="11"/>
        <v>0</v>
      </c>
      <c r="J256" s="172">
        <f t="shared" ca="1" si="11"/>
        <v>0</v>
      </c>
      <c r="K256" s="172">
        <f t="shared" si="11"/>
        <v>0</v>
      </c>
      <c r="L256" s="172">
        <f t="shared" si="11"/>
        <v>0</v>
      </c>
      <c r="M256" s="172">
        <f t="shared" ca="1" si="11"/>
        <v>8.740919924687951E-4</v>
      </c>
      <c r="N256" s="172">
        <f t="shared" ca="1" si="11"/>
        <v>0</v>
      </c>
      <c r="O256" s="328">
        <f t="shared" ca="1" si="11"/>
        <v>0</v>
      </c>
      <c r="P256" s="328">
        <f t="shared" ca="1" si="11"/>
        <v>-8.481623217862784E-3</v>
      </c>
      <c r="Q256" s="328">
        <f t="shared" ca="1" si="11"/>
        <v>-5.1992571600067872E-2</v>
      </c>
      <c r="R256" s="329">
        <f t="shared" ca="1" si="11"/>
        <v>0</v>
      </c>
      <c r="S256" s="251"/>
      <c r="T256" s="251"/>
      <c r="U256" s="251"/>
      <c r="V256" s="251"/>
      <c r="W256" s="251"/>
      <c r="X256" s="251"/>
      <c r="Y256" s="251"/>
      <c r="Z256" s="251"/>
      <c r="AA256" s="251"/>
      <c r="AB256" s="251"/>
      <c r="AC256" s="251"/>
      <c r="AD256" s="251"/>
      <c r="AE256" s="251"/>
      <c r="AF256" s="251"/>
      <c r="AG256" s="251"/>
      <c r="AH256" s="251"/>
      <c r="AI256" s="251"/>
      <c r="AJ256" s="251"/>
      <c r="AK256" s="251"/>
      <c r="AL256" s="251"/>
      <c r="AM256" s="251"/>
      <c r="AN256" s="251"/>
      <c r="AO256" s="251"/>
      <c r="AP256" s="251"/>
      <c r="AQ256" s="251"/>
      <c r="AR256" s="251"/>
      <c r="AS256" s="251"/>
      <c r="AT256" s="251"/>
      <c r="AU256" s="251"/>
      <c r="AV256" s="251"/>
      <c r="AW256" s="251"/>
      <c r="AX256" s="251"/>
      <c r="AY256" s="251"/>
      <c r="AZ256" s="251"/>
      <c r="BA256" s="251"/>
      <c r="BB256" s="251"/>
      <c r="BC256" s="251"/>
      <c r="BD256" s="251"/>
      <c r="BE256" s="251"/>
      <c r="BF256" s="251"/>
      <c r="BG256" s="251"/>
      <c r="BH256" s="251"/>
      <c r="BI256" s="251"/>
      <c r="BJ256" s="251"/>
      <c r="BK256" s="251"/>
      <c r="BL256" s="251"/>
      <c r="BM256" s="251"/>
      <c r="BN256" s="251"/>
      <c r="BO256" s="251"/>
      <c r="BP256" s="251"/>
      <c r="BQ256" s="251"/>
      <c r="BR256" s="251"/>
      <c r="BS256" s="251"/>
      <c r="BT256" s="251"/>
      <c r="BU256" s="251"/>
      <c r="BV256" s="251"/>
      <c r="BW256" s="251"/>
      <c r="BX256" s="251"/>
      <c r="BY256" s="251"/>
      <c r="BZ256" s="251"/>
      <c r="CA256" s="251"/>
      <c r="CB256" s="251"/>
      <c r="CC256" s="251"/>
      <c r="CD256" s="251"/>
      <c r="CE256" s="251"/>
      <c r="CF256" s="251"/>
      <c r="CG256" s="251"/>
      <c r="CH256" s="251"/>
      <c r="CI256" s="251"/>
      <c r="CJ256" s="251"/>
      <c r="CK256" s="251"/>
      <c r="CL256" s="251"/>
      <c r="CM256" s="251"/>
      <c r="CN256" s="251"/>
      <c r="CO256" s="251"/>
      <c r="CP256" s="251"/>
      <c r="CQ256" s="251"/>
      <c r="CR256" s="251"/>
      <c r="CS256" s="251"/>
      <c r="CT256" s="251"/>
      <c r="CU256" s="251"/>
      <c r="CV256" s="251"/>
      <c r="CW256" s="251"/>
      <c r="CX256" s="251"/>
      <c r="CY256" s="251"/>
      <c r="CZ256" s="251"/>
      <c r="DA256" s="251"/>
      <c r="DB256" s="251"/>
      <c r="DC256" s="251"/>
      <c r="DD256" s="251"/>
      <c r="DE256" s="251"/>
      <c r="DF256" s="251"/>
      <c r="DG256" s="251"/>
      <c r="DH256" s="251"/>
      <c r="DI256" s="251"/>
      <c r="DJ256" s="251"/>
      <c r="DK256" s="251"/>
      <c r="DL256" s="251"/>
      <c r="DM256" s="251"/>
      <c r="DN256" s="251"/>
      <c r="DO256" s="251"/>
      <c r="DP256" s="251"/>
      <c r="DQ256" s="251"/>
      <c r="DR256" s="251"/>
      <c r="DS256" s="251"/>
      <c r="DT256" s="251"/>
      <c r="DU256" s="251"/>
      <c r="DV256" s="251"/>
      <c r="DW256" s="251"/>
      <c r="DX256" s="251"/>
      <c r="DY256" s="251"/>
      <c r="DZ256" s="251"/>
      <c r="EA256" s="251"/>
      <c r="EB256" s="251"/>
      <c r="EC256" s="251"/>
      <c r="ED256" s="251"/>
      <c r="EE256" s="251"/>
      <c r="EF256" s="251"/>
      <c r="EG256" s="251"/>
      <c r="EH256" s="251"/>
      <c r="EI256" s="251"/>
      <c r="EJ256" s="251"/>
      <c r="EK256" s="251"/>
      <c r="EL256" s="251"/>
      <c r="EM256" s="251"/>
      <c r="EN256" s="251"/>
      <c r="EO256" s="251"/>
      <c r="EP256" s="251"/>
      <c r="EQ256" s="251"/>
      <c r="ER256" s="251"/>
      <c r="ES256" s="251"/>
      <c r="ET256" s="251"/>
      <c r="EU256" s="251"/>
      <c r="EV256" s="251"/>
      <c r="EW256" s="251"/>
      <c r="EX256" s="251"/>
      <c r="EY256" s="251"/>
      <c r="EZ256" s="251"/>
      <c r="FA256" s="251"/>
      <c r="FB256" s="251"/>
      <c r="FC256" s="251"/>
      <c r="FD256" s="251"/>
      <c r="FE256" s="251"/>
      <c r="FF256" s="251"/>
      <c r="FG256" s="251"/>
      <c r="FH256" s="251"/>
      <c r="FI256" s="251"/>
      <c r="FJ256" s="251"/>
    </row>
    <row r="257" spans="6:166">
      <c r="F257" s="7"/>
      <c r="G257" s="7"/>
      <c r="K257" s="251"/>
      <c r="L257" s="251"/>
      <c r="M257" s="251"/>
      <c r="N257" s="251"/>
      <c r="O257" s="251"/>
      <c r="P257" s="251"/>
      <c r="Q257" s="251"/>
      <c r="R257" s="251"/>
      <c r="S257" s="251"/>
      <c r="T257" s="251"/>
      <c r="U257" s="251"/>
      <c r="V257" s="251"/>
      <c r="W257" s="251"/>
      <c r="X257" s="251"/>
      <c r="Y257" s="251"/>
      <c r="Z257" s="251"/>
      <c r="AA257" s="251"/>
      <c r="AB257" s="251"/>
      <c r="AC257" s="251"/>
      <c r="AD257" s="251"/>
      <c r="AE257" s="251"/>
      <c r="AF257" s="251"/>
      <c r="AG257" s="251"/>
      <c r="AH257" s="251"/>
      <c r="AI257" s="251"/>
      <c r="AJ257" s="251"/>
      <c r="AK257" s="251"/>
      <c r="AL257" s="251"/>
      <c r="AM257" s="251"/>
      <c r="AN257" s="251"/>
      <c r="AO257" s="251"/>
      <c r="AP257" s="251"/>
      <c r="AQ257" s="251"/>
      <c r="AR257" s="251"/>
      <c r="AS257" s="251"/>
      <c r="AT257" s="251"/>
      <c r="AU257" s="251"/>
      <c r="AV257" s="251"/>
      <c r="AW257" s="251"/>
      <c r="AX257" s="251"/>
      <c r="AY257" s="251"/>
      <c r="AZ257" s="251"/>
      <c r="BA257" s="251"/>
      <c r="BB257" s="251"/>
      <c r="BC257" s="251"/>
      <c r="BD257" s="251"/>
      <c r="BE257" s="251"/>
      <c r="BF257" s="251"/>
      <c r="BG257" s="251"/>
      <c r="BH257" s="251"/>
      <c r="BI257" s="251"/>
      <c r="BJ257" s="251"/>
      <c r="BK257" s="251"/>
      <c r="BL257" s="251"/>
      <c r="BM257" s="251"/>
      <c r="BN257" s="251"/>
      <c r="BO257" s="251"/>
      <c r="BP257" s="251"/>
      <c r="BQ257" s="251"/>
      <c r="BR257" s="251"/>
      <c r="BS257" s="251"/>
      <c r="BT257" s="251"/>
      <c r="BU257" s="251"/>
      <c r="BV257" s="251"/>
      <c r="BW257" s="251"/>
      <c r="BX257" s="251"/>
      <c r="BY257" s="251"/>
      <c r="BZ257" s="251"/>
      <c r="CA257" s="251"/>
      <c r="CB257" s="251"/>
      <c r="CC257" s="251"/>
      <c r="CD257" s="251"/>
      <c r="CE257" s="251"/>
      <c r="CF257" s="251"/>
      <c r="CG257" s="251"/>
      <c r="CH257" s="251"/>
      <c r="CI257" s="251"/>
      <c r="CJ257" s="251"/>
      <c r="CK257" s="251"/>
      <c r="CL257" s="251"/>
      <c r="CM257" s="251"/>
      <c r="CN257" s="251"/>
      <c r="CO257" s="251"/>
      <c r="CP257" s="251"/>
      <c r="CQ257" s="251"/>
      <c r="CR257" s="251"/>
      <c r="CS257" s="251"/>
      <c r="CT257" s="251"/>
      <c r="CU257" s="251"/>
      <c r="CV257" s="251"/>
      <c r="CW257" s="251"/>
      <c r="CX257" s="251"/>
      <c r="CY257" s="251"/>
      <c r="CZ257" s="251"/>
      <c r="DA257" s="251"/>
      <c r="DB257" s="251"/>
      <c r="DC257" s="251"/>
      <c r="DD257" s="251"/>
      <c r="DE257" s="251"/>
      <c r="DF257" s="251"/>
      <c r="DG257" s="251"/>
      <c r="DH257" s="251"/>
      <c r="DI257" s="251"/>
      <c r="DJ257" s="251"/>
      <c r="DK257" s="251"/>
      <c r="DL257" s="251"/>
      <c r="DM257" s="251"/>
      <c r="DN257" s="251"/>
      <c r="DO257" s="251"/>
      <c r="DP257" s="251"/>
      <c r="DQ257" s="251"/>
      <c r="DR257" s="251"/>
      <c r="DS257" s="251"/>
      <c r="DT257" s="251"/>
      <c r="DU257" s="251"/>
      <c r="DV257" s="251"/>
      <c r="DW257" s="251"/>
      <c r="DX257" s="251"/>
      <c r="DY257" s="251"/>
      <c r="DZ257" s="251"/>
      <c r="EA257" s="251"/>
      <c r="EB257" s="251"/>
      <c r="EC257" s="251"/>
      <c r="ED257" s="251"/>
      <c r="EE257" s="251"/>
      <c r="EF257" s="251"/>
      <c r="EG257" s="251"/>
      <c r="EH257" s="251"/>
      <c r="EI257" s="251"/>
      <c r="EJ257" s="251"/>
      <c r="EK257" s="251"/>
      <c r="EL257" s="251"/>
      <c r="EM257" s="251"/>
      <c r="EN257" s="251"/>
      <c r="EO257" s="251"/>
      <c r="EP257" s="251"/>
      <c r="EQ257" s="251"/>
      <c r="ER257" s="251"/>
      <c r="ES257" s="251"/>
      <c r="ET257" s="251"/>
      <c r="EU257" s="251"/>
      <c r="EV257" s="251"/>
      <c r="EW257" s="251"/>
      <c r="EX257" s="251"/>
      <c r="EY257" s="251"/>
      <c r="EZ257" s="251"/>
      <c r="FA257" s="251"/>
      <c r="FB257" s="251"/>
      <c r="FC257" s="251"/>
      <c r="FD257" s="251"/>
      <c r="FE257" s="251"/>
      <c r="FF257" s="251"/>
      <c r="FG257" s="251"/>
      <c r="FH257" s="251"/>
      <c r="FI257" s="251"/>
      <c r="FJ257" s="251"/>
    </row>
    <row r="259" spans="6:166">
      <c r="F259" s="7"/>
      <c r="G259" s="7"/>
    </row>
  </sheetData>
  <phoneticPr fontId="10" type="noConversion"/>
  <pageMargins left="0.75" right="0.75" top="1" bottom="1" header="0" footer="0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2CE9E-7466-4941-917F-FC48B4B4AD9A}">
  <sheetPr codeName="Hoja8"/>
  <dimension ref="A1:T308"/>
  <sheetViews>
    <sheetView topLeftCell="A17" workbookViewId="0">
      <selection activeCell="N69" sqref="N69"/>
    </sheetView>
  </sheetViews>
  <sheetFormatPr baseColWidth="10" defaultRowHeight="13.2"/>
  <cols>
    <col min="1" max="1" width="3.5546875" customWidth="1"/>
    <col min="2" max="2" width="10.44140625" customWidth="1"/>
    <col min="3" max="3" width="12.33203125" customWidth="1"/>
    <col min="4" max="6" width="11.5546875" bestFit="1" customWidth="1"/>
    <col min="7" max="7" width="12.109375" bestFit="1" customWidth="1"/>
  </cols>
  <sheetData>
    <row r="1" spans="1:15" ht="17.399999999999999">
      <c r="A1" s="274" t="s">
        <v>399</v>
      </c>
      <c r="I1" t="s">
        <v>536</v>
      </c>
    </row>
    <row r="3" spans="1:15" ht="16.8">
      <c r="A3" s="357" t="s">
        <v>361</v>
      </c>
    </row>
    <row r="5" spans="1:15" ht="15.6">
      <c r="A5" s="158" t="s">
        <v>323</v>
      </c>
    </row>
    <row r="7" spans="1:15">
      <c r="A7" s="7">
        <v>1</v>
      </c>
      <c r="B7" s="190" t="s">
        <v>313</v>
      </c>
    </row>
    <row r="8" spans="1:15">
      <c r="A8" s="7"/>
      <c r="D8">
        <f>(1.41*'Bal Mat Red'!L8-41.294+5)*0+100</f>
        <v>100</v>
      </c>
    </row>
    <row r="9" spans="1:15">
      <c r="A9" s="7"/>
      <c r="B9" s="7" t="s">
        <v>151</v>
      </c>
      <c r="C9" s="7" t="s">
        <v>316</v>
      </c>
      <c r="D9" s="7"/>
      <c r="E9" s="7"/>
      <c r="I9" s="7" t="s">
        <v>360</v>
      </c>
    </row>
    <row r="10" spans="1:15">
      <c r="A10" s="7"/>
      <c r="B10" s="317">
        <f>+'Bal Mat Red'!C44</f>
        <v>1.5809470400347412</v>
      </c>
      <c r="C10" s="157">
        <f>+'Bal Energ Fus'!C10*D8/100</f>
        <v>12851.691189848083</v>
      </c>
      <c r="D10" s="7"/>
      <c r="E10" s="7"/>
      <c r="I10" s="347">
        <f>+B10*1000*C10/1000</f>
        <v>20317.843146030889</v>
      </c>
      <c r="L10" s="1207">
        <f>+B10*1000</f>
        <v>1580.9470400347411</v>
      </c>
      <c r="N10">
        <v>0.65</v>
      </c>
      <c r="O10" s="266" t="s">
        <v>751</v>
      </c>
    </row>
    <row r="11" spans="1:15">
      <c r="A11" s="7"/>
      <c r="L11" s="1207">
        <f>+L10/N10</f>
        <v>2432.2262154380633</v>
      </c>
      <c r="O11" s="266" t="s">
        <v>237</v>
      </c>
    </row>
    <row r="12" spans="1:15">
      <c r="A12" s="7">
        <v>2</v>
      </c>
      <c r="B12" s="190" t="s">
        <v>317</v>
      </c>
    </row>
    <row r="13" spans="1:15">
      <c r="L13">
        <f>+L10/N13</f>
        <v>2127.788748364389</v>
      </c>
      <c r="N13" s="266">
        <v>0.74299999999999999</v>
      </c>
      <c r="O13" s="266" t="s">
        <v>751</v>
      </c>
    </row>
    <row r="14" spans="1:15">
      <c r="B14" s="7" t="s">
        <v>151</v>
      </c>
      <c r="C14" s="7" t="s">
        <v>379</v>
      </c>
      <c r="D14" s="7" t="s">
        <v>332</v>
      </c>
      <c r="E14" s="7"/>
      <c r="I14" s="7" t="s">
        <v>360</v>
      </c>
      <c r="O14" s="266" t="s">
        <v>271</v>
      </c>
    </row>
    <row r="15" spans="1:15">
      <c r="B15" s="278">
        <f>+B10</f>
        <v>1.5809470400347412</v>
      </c>
      <c r="C15" s="203">
        <f>+'Bal Energ Fus'!C15</f>
        <v>1700</v>
      </c>
      <c r="D15" s="203">
        <f>+'Bal Energ Fus'!D15</f>
        <v>105</v>
      </c>
      <c r="E15" s="7"/>
      <c r="I15" s="347">
        <f>+C15/4.186*B15*(D15+273)/1000</f>
        <v>242.69387671436331</v>
      </c>
      <c r="O15" s="219"/>
    </row>
    <row r="17" spans="1:20">
      <c r="A17" s="7">
        <v>3</v>
      </c>
      <c r="B17" s="190" t="s">
        <v>400</v>
      </c>
    </row>
    <row r="19" spans="1:20">
      <c r="B19" s="7" t="s">
        <v>151</v>
      </c>
      <c r="C19" s="7" t="s">
        <v>314</v>
      </c>
      <c r="E19" s="7" t="s">
        <v>332</v>
      </c>
      <c r="I19" s="7" t="s">
        <v>360</v>
      </c>
    </row>
    <row r="20" spans="1:20">
      <c r="B20" s="317">
        <f ca="1">+'Bal Mat Fus'!C197-'Bal Mat Fus'!D254</f>
        <v>1.1331808009472866</v>
      </c>
      <c r="C20" s="395">
        <f ca="1">+'Bal Energ Fus'!E87/'Bal Energ Fus'!C87</f>
        <v>55666.589624663095</v>
      </c>
      <c r="E20" s="203">
        <f>+'Bal Energ Fus'!D77</f>
        <v>984.8443320281774</v>
      </c>
      <c r="I20" s="347">
        <f ca="1">+B20*C20/1000</f>
        <v>63.080310616879636</v>
      </c>
    </row>
    <row r="22" spans="1:20">
      <c r="A22" s="7">
        <v>4</v>
      </c>
      <c r="B22" s="190" t="s">
        <v>318</v>
      </c>
    </row>
    <row r="24" spans="1:20">
      <c r="B24" s="7" t="s">
        <v>151</v>
      </c>
      <c r="C24" s="7" t="s">
        <v>314</v>
      </c>
      <c r="E24" s="7" t="s">
        <v>332</v>
      </c>
      <c r="I24" s="7" t="s">
        <v>360</v>
      </c>
    </row>
    <row r="25" spans="1:20">
      <c r="B25" s="317">
        <f>+'Bal Energ Fus'!C101</f>
        <v>94.282982686051298</v>
      </c>
      <c r="C25" s="395">
        <f>+'Bal Energ Fus'!E101/'Bal Energ Fus'!C101</f>
        <v>196973.64821475014</v>
      </c>
      <c r="E25" s="203">
        <f>+'Bal Energ Fus'!D91</f>
        <v>984.8443320281774</v>
      </c>
      <c r="I25" s="347">
        <f>+B25*C25/1000</f>
        <v>18571.263064239647</v>
      </c>
    </row>
    <row r="27" spans="1:20">
      <c r="A27" s="7">
        <v>5</v>
      </c>
      <c r="B27" s="190" t="s">
        <v>319</v>
      </c>
    </row>
    <row r="29" spans="1:20">
      <c r="B29" s="266" t="s">
        <v>333</v>
      </c>
      <c r="D29" s="331">
        <f>+'Bal Energ Fus'!D33</f>
        <v>31</v>
      </c>
      <c r="E29" t="s">
        <v>334</v>
      </c>
      <c r="S29" s="360">
        <f>+D29+273</f>
        <v>304</v>
      </c>
      <c r="T29" t="s">
        <v>365</v>
      </c>
    </row>
    <row r="30" spans="1:20">
      <c r="L30" s="183"/>
      <c r="M30" s="364"/>
      <c r="N30" s="365" t="s">
        <v>366</v>
      </c>
      <c r="O30" s="366" t="s">
        <v>367</v>
      </c>
      <c r="P30" s="1438" t="s">
        <v>368</v>
      </c>
      <c r="Q30" s="1438"/>
      <c r="R30" s="1439"/>
      <c r="S30" s="366" t="s">
        <v>369</v>
      </c>
      <c r="T30" s="183"/>
    </row>
    <row r="31" spans="1:20">
      <c r="C31" s="7" t="s">
        <v>151</v>
      </c>
      <c r="D31" s="7" t="s">
        <v>314</v>
      </c>
      <c r="E31" s="7" t="s">
        <v>315</v>
      </c>
      <c r="L31" s="260"/>
      <c r="M31" s="367" t="s">
        <v>370</v>
      </c>
      <c r="N31" s="368" t="s">
        <v>371</v>
      </c>
      <c r="O31" s="368" t="s">
        <v>372</v>
      </c>
      <c r="P31" s="369" t="s">
        <v>373</v>
      </c>
      <c r="Q31" s="367" t="s">
        <v>374</v>
      </c>
      <c r="R31" s="370" t="s">
        <v>375</v>
      </c>
      <c r="S31" s="371" t="s">
        <v>376</v>
      </c>
      <c r="T31" s="372" t="s">
        <v>220</v>
      </c>
    </row>
    <row r="32" spans="1:20">
      <c r="B32" s="183" t="s">
        <v>245</v>
      </c>
      <c r="C32" s="374">
        <f>+'Bal Mat Red'!D47+'Bal Mat Red'!F47+'Bal Mat Red'!I243*'Bal Mat Red'!D241/'Bal Mat Red'!D243*'Bal Mat Red'!M100</f>
        <v>3.0883532035633787</v>
      </c>
      <c r="D32" s="348">
        <f>+T32*1000</f>
        <v>1316.1487327799362</v>
      </c>
      <c r="E32" s="171">
        <f>+C32*D32</f>
        <v>4064.732155246797</v>
      </c>
      <c r="L32" s="183" t="s">
        <v>245</v>
      </c>
      <c r="M32" s="361">
        <v>32</v>
      </c>
      <c r="N32" s="361">
        <v>298</v>
      </c>
      <c r="O32" s="348">
        <v>0</v>
      </c>
      <c r="P32" s="324">
        <v>7.16</v>
      </c>
      <c r="Q32" s="345">
        <v>1</v>
      </c>
      <c r="R32" s="350">
        <v>-0.4</v>
      </c>
      <c r="S32" s="324">
        <f>+(P32*($S$29-N32)+Q32*10^(-3)*($S$29^2-N32^2)/2-R32*10^5*($S$29^(-1)-N32^(-1)))+O32</f>
        <v>42.116759448957957</v>
      </c>
      <c r="T32" s="171">
        <f>+S32/M32</f>
        <v>1.3161487327799362</v>
      </c>
    </row>
    <row r="33" spans="1:20">
      <c r="B33" s="100" t="s">
        <v>219</v>
      </c>
      <c r="C33" s="375">
        <f>+'Bal Mat Red'!D48+'Bal Mat Red'!F48+'Bal Mat Red'!I244*'Bal Mat Red'!D241/'Bal Mat Red'!D243*'Bal Mat Red'!M100</f>
        <v>10.165829295062789</v>
      </c>
      <c r="D33" s="334">
        <f>+T33*1000</f>
        <v>1492.9328571428573</v>
      </c>
      <c r="E33" s="137">
        <f>+C33*D33</f>
        <v>15176.900574704649</v>
      </c>
      <c r="L33" s="100" t="s">
        <v>219</v>
      </c>
      <c r="M33" s="362">
        <v>28</v>
      </c>
      <c r="N33" s="362">
        <v>298</v>
      </c>
      <c r="O33" s="334">
        <v>0</v>
      </c>
      <c r="P33" s="325">
        <v>6.66</v>
      </c>
      <c r="Q33" s="21">
        <v>1.02</v>
      </c>
      <c r="R33" s="351">
        <v>0</v>
      </c>
      <c r="S33" s="325">
        <f>+(P33*($S$29-N33)+Q33*10^(-3)*($S$29^2-N33^2)/2-R33*10^5*($S$29^(-1)-N33^(-1)))+O33</f>
        <v>41.802120000000002</v>
      </c>
      <c r="T33" s="137">
        <f>+S33/M33</f>
        <v>1.4929328571428573</v>
      </c>
    </row>
    <row r="34" spans="1:20">
      <c r="B34" s="260" t="s">
        <v>150</v>
      </c>
      <c r="C34" s="373">
        <f>+'Bal Mat Red'!D52+'Bal Mat Red'!F52+'Bal Mat Red'!I245*'Bal Mat Red'!D241/'Bal Mat Red'!D243*'Bal Mat Red'!M100</f>
        <v>0</v>
      </c>
      <c r="D34" s="349">
        <f>+T34*1000</f>
        <v>61227.88203753352</v>
      </c>
      <c r="E34" s="138">
        <f>+C34*D34</f>
        <v>0</v>
      </c>
      <c r="I34" s="7" t="s">
        <v>360</v>
      </c>
      <c r="L34" s="260" t="s">
        <v>150</v>
      </c>
      <c r="M34" s="363">
        <v>18</v>
      </c>
      <c r="N34" s="363">
        <v>373</v>
      </c>
      <c r="O34" s="349">
        <v>1352.25</v>
      </c>
      <c r="P34" s="270"/>
      <c r="Q34" s="346"/>
      <c r="R34" s="352"/>
      <c r="S34" s="270">
        <f>+O34*S29/N34</f>
        <v>1102.1018766756033</v>
      </c>
      <c r="T34" s="138">
        <f>+S34/M34</f>
        <v>61.227882037533519</v>
      </c>
    </row>
    <row r="35" spans="1:20">
      <c r="C35" s="267">
        <f>+SUM(C32:C34)</f>
        <v>13.254182498626168</v>
      </c>
      <c r="D35" s="267"/>
      <c r="E35" s="267">
        <f>+SUM(E32:E34)</f>
        <v>19241.632729951445</v>
      </c>
      <c r="I35" s="347">
        <f>+E35/1000</f>
        <v>19.241632729951444</v>
      </c>
      <c r="L35" s="3"/>
      <c r="M35" s="334"/>
      <c r="N35" s="334"/>
      <c r="O35" s="334"/>
      <c r="P35" s="21"/>
      <c r="Q35" s="21"/>
      <c r="R35" s="21"/>
      <c r="S35" s="21"/>
      <c r="T35" s="334"/>
    </row>
    <row r="36" spans="1:20">
      <c r="L36" s="3"/>
      <c r="M36" s="334"/>
      <c r="N36" s="334"/>
      <c r="O36" s="334"/>
      <c r="P36" s="21"/>
      <c r="Q36" s="21"/>
      <c r="R36" s="21"/>
      <c r="S36" s="21"/>
      <c r="T36" s="334"/>
    </row>
    <row r="37" spans="1:20">
      <c r="A37" s="7">
        <v>6</v>
      </c>
      <c r="B37" s="190" t="s">
        <v>320</v>
      </c>
      <c r="L37" s="3"/>
      <c r="M37" s="334"/>
      <c r="N37" s="334"/>
      <c r="O37" s="334"/>
      <c r="P37" s="21"/>
      <c r="Q37" s="21"/>
      <c r="R37" s="21"/>
      <c r="S37" s="21"/>
      <c r="T37" s="334"/>
    </row>
    <row r="38" spans="1:20">
      <c r="L38" s="3"/>
      <c r="M38" s="334"/>
      <c r="N38" s="334"/>
      <c r="O38" s="334"/>
      <c r="P38" s="334"/>
      <c r="Q38" s="334"/>
      <c r="R38" s="334"/>
      <c r="S38" s="21"/>
      <c r="T38" s="334"/>
    </row>
    <row r="39" spans="1:20">
      <c r="B39" s="266" t="s">
        <v>333</v>
      </c>
      <c r="D39" s="331">
        <f>+'Bal Energ Fus'!D43</f>
        <v>27</v>
      </c>
      <c r="E39" t="s">
        <v>334</v>
      </c>
      <c r="S39" s="360">
        <f>+D39+273</f>
        <v>300</v>
      </c>
      <c r="T39" t="s">
        <v>365</v>
      </c>
    </row>
    <row r="40" spans="1:20">
      <c r="L40" s="183"/>
      <c r="M40" s="364"/>
      <c r="N40" s="365" t="s">
        <v>366</v>
      </c>
      <c r="O40" s="366" t="s">
        <v>367</v>
      </c>
      <c r="P40" s="1438" t="s">
        <v>368</v>
      </c>
      <c r="Q40" s="1438"/>
      <c r="R40" s="1439"/>
      <c r="S40" s="366" t="s">
        <v>369</v>
      </c>
      <c r="T40" s="183"/>
    </row>
    <row r="41" spans="1:20">
      <c r="C41" s="7" t="s">
        <v>151</v>
      </c>
      <c r="D41" s="7" t="s">
        <v>314</v>
      </c>
      <c r="E41" s="7" t="s">
        <v>315</v>
      </c>
      <c r="L41" s="260"/>
      <c r="M41" s="367" t="s">
        <v>370</v>
      </c>
      <c r="N41" s="368" t="s">
        <v>371</v>
      </c>
      <c r="O41" s="368" t="s">
        <v>372</v>
      </c>
      <c r="P41" s="369" t="s">
        <v>373</v>
      </c>
      <c r="Q41" s="367" t="s">
        <v>374</v>
      </c>
      <c r="R41" s="370" t="s">
        <v>375</v>
      </c>
      <c r="S41" s="371" t="s">
        <v>376</v>
      </c>
      <c r="T41" s="372" t="s">
        <v>220</v>
      </c>
    </row>
    <row r="42" spans="1:20">
      <c r="B42" s="183" t="s">
        <v>245</v>
      </c>
      <c r="C42" s="374">
        <f>+'Bal Mat Red'!E47</f>
        <v>2.1948761226977198</v>
      </c>
      <c r="D42" s="348">
        <f>+T42*1000</f>
        <v>438.2232941834456</v>
      </c>
      <c r="E42" s="171">
        <f>+C42*D42</f>
        <v>961.84584481318336</v>
      </c>
      <c r="L42" s="183" t="s">
        <v>245</v>
      </c>
      <c r="M42" s="361">
        <v>32</v>
      </c>
      <c r="N42" s="361">
        <v>298</v>
      </c>
      <c r="O42" s="348">
        <v>0</v>
      </c>
      <c r="P42" s="324">
        <v>7.16</v>
      </c>
      <c r="Q42" s="345">
        <v>1</v>
      </c>
      <c r="R42" s="350">
        <v>-0.4</v>
      </c>
      <c r="S42" s="324">
        <f>+(P42*($S$39-N42)+Q42*10^(-3)*($S$39^2-N42^2)/2-R42*10^5*($S$39^(-1)-N42^(-1)))+O42</f>
        <v>14.023145413870258</v>
      </c>
      <c r="T42" s="171">
        <f>+S42/M42</f>
        <v>0.43822329418344558</v>
      </c>
    </row>
    <row r="43" spans="1:20">
      <c r="B43" s="100" t="s">
        <v>219</v>
      </c>
      <c r="C43" s="375">
        <f>+'Bal Mat Red'!E48</f>
        <v>3.9194216476745036E-2</v>
      </c>
      <c r="D43" s="334">
        <f>+T43*1000</f>
        <v>497.49857142857144</v>
      </c>
      <c r="E43" s="137">
        <f>+C43*D43</f>
        <v>19.499066705442832</v>
      </c>
      <c r="L43" s="100" t="s">
        <v>219</v>
      </c>
      <c r="M43" s="362">
        <v>28</v>
      </c>
      <c r="N43" s="362">
        <v>298</v>
      </c>
      <c r="O43" s="334">
        <v>0</v>
      </c>
      <c r="P43" s="325">
        <v>6.66</v>
      </c>
      <c r="Q43" s="21">
        <v>1.02</v>
      </c>
      <c r="R43" s="351">
        <v>0</v>
      </c>
      <c r="S43" s="325">
        <f>+(P43*($S$39-N43)+Q43*10^(-3)*($S$39^2-N43^2)/2-R43*10^5*($S$39^(-1)-N43^(-1)))+O43</f>
        <v>13.929960000000001</v>
      </c>
      <c r="T43" s="137">
        <f>+S43/M43</f>
        <v>0.49749857142857146</v>
      </c>
    </row>
    <row r="44" spans="1:20">
      <c r="B44" s="260" t="s">
        <v>150</v>
      </c>
      <c r="C44" s="373">
        <f>+'Bal Mat Red'!E52</f>
        <v>0</v>
      </c>
      <c r="D44" s="349">
        <f>+T44*1000</f>
        <v>60422.25201072386</v>
      </c>
      <c r="E44" s="138">
        <f>+C44*D44</f>
        <v>0</v>
      </c>
      <c r="I44" s="7" t="s">
        <v>360</v>
      </c>
      <c r="L44" s="260" t="s">
        <v>150</v>
      </c>
      <c r="M44" s="363">
        <v>18</v>
      </c>
      <c r="N44" s="363">
        <v>373</v>
      </c>
      <c r="O44" s="349">
        <v>1352.25</v>
      </c>
      <c r="P44" s="270"/>
      <c r="Q44" s="346"/>
      <c r="R44" s="352"/>
      <c r="S44" s="270">
        <f>+O44*S39/N44</f>
        <v>1087.6005361930295</v>
      </c>
      <c r="T44" s="138">
        <f>+S44/M44</f>
        <v>60.422252010723859</v>
      </c>
    </row>
    <row r="45" spans="1:20">
      <c r="C45" s="267">
        <f>+SUM(C42:C44)</f>
        <v>2.234070339174465</v>
      </c>
      <c r="D45" s="267"/>
      <c r="E45" s="267">
        <f>+SUM(E42:E44)</f>
        <v>981.34491151862619</v>
      </c>
      <c r="I45" s="347">
        <f>+E45/1000</f>
        <v>0.98134491151862624</v>
      </c>
    </row>
    <row r="47" spans="1:20">
      <c r="A47" s="7">
        <v>7</v>
      </c>
      <c r="B47" s="190" t="s">
        <v>383</v>
      </c>
    </row>
    <row r="49" spans="2:17">
      <c r="B49" t="s">
        <v>350</v>
      </c>
    </row>
    <row r="50" spans="2:17">
      <c r="E50" s="7" t="s">
        <v>349</v>
      </c>
      <c r="F50" s="7" t="s">
        <v>314</v>
      </c>
      <c r="G50" s="7" t="s">
        <v>315</v>
      </c>
      <c r="L50" s="378"/>
      <c r="M50" s="379"/>
      <c r="N50" s="380"/>
      <c r="O50" s="269" t="s">
        <v>380</v>
      </c>
      <c r="P50" s="269" t="s">
        <v>381</v>
      </c>
      <c r="Q50" s="241" t="s">
        <v>382</v>
      </c>
    </row>
    <row r="51" spans="2:17">
      <c r="B51" s="152" t="s">
        <v>344</v>
      </c>
      <c r="C51" s="179"/>
      <c r="D51" s="202"/>
      <c r="E51" s="350">
        <f>+'Bal Mat Red'!B94</f>
        <v>0</v>
      </c>
      <c r="F51" s="348">
        <f t="shared" ref="F51:F60" si="0">+-Q51*1000</f>
        <v>40251.572327044028</v>
      </c>
      <c r="G51" s="171">
        <f t="shared" ref="G51:G60" si="1">+E51*F51</f>
        <v>0</v>
      </c>
      <c r="L51" s="152" t="s">
        <v>344</v>
      </c>
      <c r="M51" s="179"/>
      <c r="N51" s="202"/>
      <c r="O51" s="195">
        <f>+'Bal Energ Fus'!O55</f>
        <v>-6.4</v>
      </c>
      <c r="P51" s="179">
        <f>63.5*2+32</f>
        <v>159</v>
      </c>
      <c r="Q51" s="171">
        <f t="shared" ref="Q51:Q60" si="2">+O51/P51*1000</f>
        <v>-40.25157232704403</v>
      </c>
    </row>
    <row r="52" spans="2:17">
      <c r="B52" s="135" t="s">
        <v>345</v>
      </c>
      <c r="C52" s="3"/>
      <c r="D52" s="184"/>
      <c r="E52" s="351">
        <f>+'Bal Mat Red'!B97</f>
        <v>1.7437026698494108E-2</v>
      </c>
      <c r="F52" s="334">
        <f t="shared" si="0"/>
        <v>806250</v>
      </c>
      <c r="G52" s="137">
        <f t="shared" si="1"/>
        <v>14058.602775660875</v>
      </c>
      <c r="L52" s="135" t="s">
        <v>345</v>
      </c>
      <c r="M52" s="3"/>
      <c r="N52" s="184"/>
      <c r="O52" s="141">
        <f>+'Bal Energ Fus'!O56</f>
        <v>-25.8</v>
      </c>
      <c r="P52" s="3">
        <v>32</v>
      </c>
      <c r="Q52" s="137">
        <f t="shared" si="2"/>
        <v>-806.25</v>
      </c>
    </row>
    <row r="53" spans="2:17">
      <c r="B53" s="135" t="s">
        <v>398</v>
      </c>
      <c r="C53" s="3"/>
      <c r="D53" s="184"/>
      <c r="E53" s="390">
        <f>+'Bal Mat Red'!D102</f>
        <v>0</v>
      </c>
      <c r="F53" s="334">
        <f t="shared" si="0"/>
        <v>11375100</v>
      </c>
      <c r="G53" s="137">
        <f t="shared" si="1"/>
        <v>0</v>
      </c>
      <c r="L53" s="135" t="s">
        <v>398</v>
      </c>
      <c r="M53" s="3"/>
      <c r="N53" s="184"/>
      <c r="O53" s="141">
        <f>+'Bal Energ Fus'!O57</f>
        <v>-341.25299999999999</v>
      </c>
      <c r="P53" s="3">
        <v>30</v>
      </c>
      <c r="Q53" s="137">
        <f t="shared" si="2"/>
        <v>-11375.1</v>
      </c>
    </row>
    <row r="54" spans="2:17">
      <c r="B54" s="135" t="s">
        <v>352</v>
      </c>
      <c r="C54" s="3"/>
      <c r="D54" s="184"/>
      <c r="E54" s="351">
        <f>+'Bal Mat Red'!D105</f>
        <v>-0.69096666473959167</v>
      </c>
      <c r="F54" s="334">
        <f t="shared" si="0"/>
        <v>2416428.5714285714</v>
      </c>
      <c r="G54" s="137">
        <f t="shared" si="1"/>
        <v>-1669671.5905814562</v>
      </c>
      <c r="L54" s="135" t="s">
        <v>352</v>
      </c>
      <c r="M54" s="3"/>
      <c r="N54" s="184"/>
      <c r="O54" s="396">
        <f>+'Bal Energ Fus'!O60</f>
        <v>-67.66</v>
      </c>
      <c r="P54" s="3">
        <v>28</v>
      </c>
      <c r="Q54" s="137">
        <f t="shared" si="2"/>
        <v>-2416.4285714285716</v>
      </c>
    </row>
    <row r="55" spans="2:17">
      <c r="B55" s="136" t="s">
        <v>351</v>
      </c>
      <c r="C55" s="182"/>
      <c r="D55" s="185"/>
      <c r="E55" s="352">
        <f>+'Bal Mat Red'!D108</f>
        <v>-0.29612857060268216</v>
      </c>
      <c r="F55" s="349">
        <f t="shared" si="0"/>
        <v>2201666.6666666665</v>
      </c>
      <c r="G55" s="138">
        <f t="shared" si="1"/>
        <v>-651976.4029435718</v>
      </c>
      <c r="I55" s="7" t="s">
        <v>360</v>
      </c>
      <c r="L55" s="136" t="s">
        <v>351</v>
      </c>
      <c r="M55" s="182"/>
      <c r="N55" s="182"/>
      <c r="O55" s="141">
        <f>+'Bal Energ Fus'!O61</f>
        <v>-26.42</v>
      </c>
      <c r="P55" s="182">
        <v>12</v>
      </c>
      <c r="Q55" s="138">
        <f t="shared" si="2"/>
        <v>-2201.6666666666665</v>
      </c>
    </row>
    <row r="56" spans="2:17">
      <c r="B56" s="152" t="s">
        <v>346</v>
      </c>
      <c r="C56" s="179"/>
      <c r="D56" s="202"/>
      <c r="E56" s="350">
        <f ca="1">+'Bal Mat Red'!K113</f>
        <v>0</v>
      </c>
      <c r="F56" s="348">
        <f t="shared" si="0"/>
        <v>522568.67112100974</v>
      </c>
      <c r="G56" s="171">
        <f t="shared" ca="1" si="1"/>
        <v>0</v>
      </c>
      <c r="H56" t="s">
        <v>391</v>
      </c>
      <c r="L56" s="135" t="s">
        <v>346</v>
      </c>
      <c r="M56" s="3"/>
      <c r="N56" s="3"/>
      <c r="O56" s="141">
        <f>+'Bal Energ Fus'!O62</f>
        <v>-70.39</v>
      </c>
      <c r="P56" s="3">
        <f>118.7+16</f>
        <v>134.69999999999999</v>
      </c>
      <c r="Q56" s="137">
        <f t="shared" si="2"/>
        <v>-522.56867112100974</v>
      </c>
    </row>
    <row r="57" spans="2:17">
      <c r="B57" s="135" t="s">
        <v>347</v>
      </c>
      <c r="C57" s="3"/>
      <c r="D57" s="184"/>
      <c r="E57" s="351">
        <f>+'Bal Mat Red'!K116</f>
        <v>0</v>
      </c>
      <c r="F57" s="334">
        <f t="shared" si="0"/>
        <v>1219847.3788984739</v>
      </c>
      <c r="G57" s="137">
        <f t="shared" si="1"/>
        <v>0</v>
      </c>
      <c r="H57" t="s">
        <v>391</v>
      </c>
      <c r="L57" s="135" t="s">
        <v>347</v>
      </c>
      <c r="M57" s="3"/>
      <c r="N57" s="3"/>
      <c r="O57" s="141">
        <f>+'Bal Energ Fus'!O63</f>
        <v>-183.83099999999999</v>
      </c>
      <c r="P57" s="3">
        <f>118.7+32</f>
        <v>150.69999999999999</v>
      </c>
      <c r="Q57" s="137">
        <f t="shared" si="2"/>
        <v>-1219.8473788984738</v>
      </c>
    </row>
    <row r="58" spans="2:17">
      <c r="B58" s="135" t="s">
        <v>352</v>
      </c>
      <c r="C58" s="3"/>
      <c r="D58" s="184"/>
      <c r="E58" s="351">
        <f ca="1">+'Bal Mat Red'!M119</f>
        <v>0</v>
      </c>
      <c r="F58" s="334">
        <f t="shared" si="0"/>
        <v>2415357.1428571427</v>
      </c>
      <c r="G58" s="137">
        <f t="shared" ca="1" si="1"/>
        <v>0</v>
      </c>
      <c r="L58" s="135" t="s">
        <v>352</v>
      </c>
      <c r="M58" s="3"/>
      <c r="N58" s="3"/>
      <c r="O58" s="141">
        <f>+'Bal Energ Fus'!O64</f>
        <v>-67.63</v>
      </c>
      <c r="P58" s="3">
        <f>12+16</f>
        <v>28</v>
      </c>
      <c r="Q58" s="137">
        <f t="shared" si="2"/>
        <v>-2415.3571428571427</v>
      </c>
    </row>
    <row r="59" spans="2:17">
      <c r="B59" s="135" t="s">
        <v>348</v>
      </c>
      <c r="C59" s="3"/>
      <c r="D59" s="184"/>
      <c r="E59" s="351">
        <f>+'Bal Mat Red'!K122</f>
        <v>0</v>
      </c>
      <c r="F59" s="334">
        <f t="shared" si="0"/>
        <v>2697125</v>
      </c>
      <c r="G59" s="137">
        <f t="shared" si="1"/>
        <v>0</v>
      </c>
      <c r="L59" s="135" t="s">
        <v>348</v>
      </c>
      <c r="M59" s="3"/>
      <c r="N59" s="3"/>
      <c r="O59" s="141">
        <f>+'Bal Energ Fus'!O65</f>
        <v>-86.308000000000007</v>
      </c>
      <c r="P59" s="3">
        <v>32</v>
      </c>
      <c r="Q59" s="137">
        <f t="shared" si="2"/>
        <v>-2697.125</v>
      </c>
    </row>
    <row r="60" spans="2:17">
      <c r="B60" s="136" t="s">
        <v>396</v>
      </c>
      <c r="C60" s="182"/>
      <c r="D60" s="185"/>
      <c r="E60" s="352">
        <f>+'Bal Mat Red'!K125</f>
        <v>0</v>
      </c>
      <c r="F60" s="349">
        <f t="shared" si="0"/>
        <v>11375100</v>
      </c>
      <c r="G60" s="138">
        <f t="shared" si="1"/>
        <v>0</v>
      </c>
      <c r="I60" s="7" t="s">
        <v>360</v>
      </c>
      <c r="L60" s="136" t="s">
        <v>396</v>
      </c>
      <c r="M60" s="182"/>
      <c r="N60" s="182"/>
      <c r="O60" s="141">
        <f>+'Bal Energ Fus'!O66</f>
        <v>-341.25299999999999</v>
      </c>
      <c r="P60" s="182">
        <f>24+6</f>
        <v>30</v>
      </c>
      <c r="Q60" s="138">
        <f t="shared" si="2"/>
        <v>-11375.1</v>
      </c>
    </row>
    <row r="61" spans="2:17">
      <c r="B61" s="3"/>
      <c r="C61" s="3"/>
      <c r="D61" s="3"/>
      <c r="E61" s="21"/>
      <c r="F61" s="334"/>
      <c r="G61" s="334"/>
      <c r="I61" s="7"/>
      <c r="L61" s="3"/>
      <c r="M61" s="3"/>
      <c r="N61" s="3"/>
      <c r="O61" s="141"/>
      <c r="P61" s="3"/>
      <c r="Q61" s="334"/>
    </row>
    <row r="62" spans="2:17">
      <c r="F62" s="267"/>
      <c r="G62" s="356">
        <f ca="1">SUM(G51:G60)</f>
        <v>-2307589.390749367</v>
      </c>
      <c r="I62" s="347">
        <f ca="1">+G62/1000</f>
        <v>-2307.5893907493669</v>
      </c>
    </row>
    <row r="64" spans="2:17">
      <c r="I64" s="7" t="s">
        <v>360</v>
      </c>
    </row>
    <row r="65" spans="1:20">
      <c r="B65" s="392" t="s">
        <v>353</v>
      </c>
      <c r="C65" s="393"/>
      <c r="D65" s="393"/>
      <c r="E65" s="393"/>
      <c r="F65" s="393"/>
      <c r="G65" s="393"/>
      <c r="H65" s="394"/>
      <c r="I65" s="355">
        <f ca="1">+I10+I15+I35+I45+I62+I20+I25</f>
        <v>37059.70341501743</v>
      </c>
    </row>
    <row r="68" spans="1:20" ht="15.6">
      <c r="A68" s="158" t="s">
        <v>324</v>
      </c>
    </row>
    <row r="69" spans="1:20">
      <c r="A69" s="7"/>
    </row>
    <row r="70" spans="1:20">
      <c r="A70" s="7">
        <v>1</v>
      </c>
      <c r="B70" s="190" t="s">
        <v>325</v>
      </c>
    </row>
    <row r="72" spans="1:20">
      <c r="B72" s="266" t="s">
        <v>333</v>
      </c>
      <c r="D72" s="330">
        <f>+D86-200-25</f>
        <v>924.94796186965073</v>
      </c>
      <c r="E72" t="s">
        <v>334</v>
      </c>
      <c r="S72" s="360">
        <f>+D72+273</f>
        <v>1197.9479618696507</v>
      </c>
      <c r="T72" t="s">
        <v>365</v>
      </c>
    </row>
    <row r="73" spans="1:20">
      <c r="B73" s="266"/>
      <c r="D73" s="353"/>
      <c r="J73" s="7"/>
      <c r="L73" s="183"/>
      <c r="M73" s="364"/>
      <c r="N73" s="365" t="s">
        <v>366</v>
      </c>
      <c r="O73" s="366" t="s">
        <v>367</v>
      </c>
      <c r="P73" s="1438" t="s">
        <v>368</v>
      </c>
      <c r="Q73" s="1438"/>
      <c r="R73" s="1439"/>
      <c r="S73" s="366" t="s">
        <v>369</v>
      </c>
      <c r="T73" s="183"/>
    </row>
    <row r="74" spans="1:20">
      <c r="C74" s="7" t="s">
        <v>151</v>
      </c>
      <c r="D74" s="7" t="s">
        <v>314</v>
      </c>
      <c r="E74" s="7" t="s">
        <v>315</v>
      </c>
      <c r="J74" s="7"/>
      <c r="L74" s="260"/>
      <c r="M74" s="367" t="s">
        <v>370</v>
      </c>
      <c r="N74" s="368" t="s">
        <v>371</v>
      </c>
      <c r="O74" s="368" t="s">
        <v>372</v>
      </c>
      <c r="P74" s="369" t="s">
        <v>373</v>
      </c>
      <c r="Q74" s="367" t="s">
        <v>374</v>
      </c>
      <c r="R74" s="370" t="s">
        <v>375</v>
      </c>
      <c r="S74" s="371" t="s">
        <v>376</v>
      </c>
      <c r="T74" s="372" t="s">
        <v>220</v>
      </c>
    </row>
    <row r="75" spans="1:20">
      <c r="B75" s="183" t="s">
        <v>7</v>
      </c>
      <c r="C75" s="350">
        <f ca="1">+'Bal Mat Red'!C184</f>
        <v>12.116875338278509</v>
      </c>
      <c r="D75" s="348">
        <f t="shared" ref="D75:D81" si="3">+T75*1000</f>
        <v>50039.229556357997</v>
      </c>
      <c r="E75" s="171">
        <f t="shared" ref="E75:E81" ca="1" si="4">+C75*D75</f>
        <v>606319.10655789135</v>
      </c>
      <c r="J75" s="7"/>
      <c r="L75" s="183" t="s">
        <v>7</v>
      </c>
      <c r="M75" s="361">
        <v>118.7</v>
      </c>
      <c r="N75" s="361">
        <v>298</v>
      </c>
      <c r="O75" s="348">
        <v>0</v>
      </c>
      <c r="P75" s="324">
        <v>6.6</v>
      </c>
      <c r="Q75" s="345">
        <v>0</v>
      </c>
      <c r="R75" s="350">
        <v>0</v>
      </c>
      <c r="S75" s="324">
        <f t="shared" ref="S75:S81" si="5">+(P75*($S$72-N75)+Q75*10^(-3)*($S$72^2-N75^2)/2-R75*10^5*($S$72^(-1)-N75^(-1)))+O75</f>
        <v>5939.6565483396944</v>
      </c>
      <c r="T75" s="171">
        <f t="shared" ref="T75:T81" si="6">+S75/M75</f>
        <v>50.039229556357995</v>
      </c>
    </row>
    <row r="76" spans="1:20">
      <c r="B76" s="100" t="s">
        <v>10</v>
      </c>
      <c r="C76" s="351">
        <f>+'Bal Mat Red'!C185</f>
        <v>0.15518352626558973</v>
      </c>
      <c r="D76" s="334">
        <f t="shared" si="3"/>
        <v>131326.33642323461</v>
      </c>
      <c r="E76" s="137">
        <f t="shared" si="4"/>
        <v>20379.6839776987</v>
      </c>
      <c r="J76" s="7"/>
      <c r="L76" s="100" t="s">
        <v>10</v>
      </c>
      <c r="M76" s="362">
        <v>55.85</v>
      </c>
      <c r="N76" s="362">
        <v>298</v>
      </c>
      <c r="O76" s="334">
        <v>0</v>
      </c>
      <c r="P76" s="325">
        <v>8.15</v>
      </c>
      <c r="Q76" s="21">
        <v>0</v>
      </c>
      <c r="R76" s="351">
        <v>0</v>
      </c>
      <c r="S76" s="325">
        <f t="shared" si="5"/>
        <v>7334.5758892376534</v>
      </c>
      <c r="T76" s="137">
        <f t="shared" si="6"/>
        <v>131.32633642323461</v>
      </c>
    </row>
    <row r="77" spans="1:20">
      <c r="B77" s="100" t="s">
        <v>6</v>
      </c>
      <c r="C77" s="351">
        <f ca="1">+'Bal Mat Red'!C186</f>
        <v>7.5719218460090654E-3</v>
      </c>
      <c r="D77" s="334">
        <f t="shared" si="3"/>
        <v>29534.971721590853</v>
      </c>
      <c r="E77" s="137">
        <f t="shared" ca="1" si="4"/>
        <v>223.63649759997375</v>
      </c>
      <c r="L77" s="100" t="s">
        <v>6</v>
      </c>
      <c r="M77" s="362">
        <v>207.2</v>
      </c>
      <c r="N77" s="362">
        <v>298</v>
      </c>
      <c r="O77" s="334">
        <v>0</v>
      </c>
      <c r="P77" s="325">
        <v>6.8</v>
      </c>
      <c r="Q77" s="21">
        <v>0</v>
      </c>
      <c r="R77" s="351">
        <v>0</v>
      </c>
      <c r="S77" s="325">
        <f t="shared" si="5"/>
        <v>6119.6461407136248</v>
      </c>
      <c r="T77" s="137">
        <f t="shared" si="6"/>
        <v>29.534971721590853</v>
      </c>
    </row>
    <row r="78" spans="1:20">
      <c r="B78" s="100" t="s">
        <v>8</v>
      </c>
      <c r="C78" s="351">
        <f ca="1">+'Bal Mat Red'!C187</f>
        <v>1.8659571079298123E-2</v>
      </c>
      <c r="D78" s="334">
        <f t="shared" si="3"/>
        <v>52829.457531756998</v>
      </c>
      <c r="E78" s="137">
        <f t="shared" ca="1" si="4"/>
        <v>985.77501789458131</v>
      </c>
      <c r="L78" s="100" t="s">
        <v>8</v>
      </c>
      <c r="M78" s="362">
        <v>121.8</v>
      </c>
      <c r="N78" s="362">
        <v>298</v>
      </c>
      <c r="O78" s="334">
        <v>0</v>
      </c>
      <c r="P78" s="325">
        <v>7.15</v>
      </c>
      <c r="Q78" s="21">
        <v>0</v>
      </c>
      <c r="R78" s="351">
        <v>0</v>
      </c>
      <c r="S78" s="325">
        <f t="shared" si="5"/>
        <v>6434.6279273680029</v>
      </c>
      <c r="T78" s="137">
        <f t="shared" si="6"/>
        <v>52.829457531757001</v>
      </c>
    </row>
    <row r="79" spans="1:20">
      <c r="B79" s="100" t="s">
        <v>9</v>
      </c>
      <c r="C79" s="351">
        <f ca="1">+'Bal Mat Red'!C188</f>
        <v>7.2789600240094995E-2</v>
      </c>
      <c r="D79" s="334">
        <f t="shared" si="3"/>
        <v>83149.173384550653</v>
      </c>
      <c r="E79" s="137">
        <f t="shared" ca="1" si="4"/>
        <v>6052.3950909557889</v>
      </c>
      <c r="L79" s="100" t="s">
        <v>9</v>
      </c>
      <c r="M79" s="362">
        <v>74.900000000000006</v>
      </c>
      <c r="N79" s="362">
        <v>298</v>
      </c>
      <c r="O79" s="334">
        <v>0</v>
      </c>
      <c r="P79" s="325">
        <v>5.17</v>
      </c>
      <c r="Q79" s="21">
        <v>2.34</v>
      </c>
      <c r="R79" s="351">
        <v>0</v>
      </c>
      <c r="S79" s="325">
        <f t="shared" si="5"/>
        <v>6227.8730865028447</v>
      </c>
      <c r="T79" s="137">
        <f t="shared" si="6"/>
        <v>83.14917338455065</v>
      </c>
    </row>
    <row r="80" spans="1:20">
      <c r="B80" s="100" t="s">
        <v>75</v>
      </c>
      <c r="C80" s="351">
        <f ca="1">+'Bal Mat Red'!C189</f>
        <v>9.1843186429093962E-2</v>
      </c>
      <c r="D80" s="334">
        <f t="shared" si="3"/>
        <v>106293.06636255718</v>
      </c>
      <c r="E80" s="137">
        <f t="shared" ca="1" si="4"/>
        <v>9762.2939100563945</v>
      </c>
      <c r="L80" s="100" t="s">
        <v>75</v>
      </c>
      <c r="M80" s="362">
        <v>63.5</v>
      </c>
      <c r="N80" s="362">
        <v>298</v>
      </c>
      <c r="O80" s="334">
        <v>0</v>
      </c>
      <c r="P80" s="325">
        <v>7.5</v>
      </c>
      <c r="Q80" s="21">
        <v>0</v>
      </c>
      <c r="R80" s="351">
        <v>0</v>
      </c>
      <c r="S80" s="325">
        <f t="shared" si="5"/>
        <v>6749.6097140223801</v>
      </c>
      <c r="T80" s="137">
        <f t="shared" si="6"/>
        <v>106.29306636255717</v>
      </c>
    </row>
    <row r="81" spans="1:20">
      <c r="B81" s="260" t="s">
        <v>103</v>
      </c>
      <c r="C81" s="352">
        <f ca="1">+'Bal Mat Red'!C190</f>
        <v>0.15851937439273731</v>
      </c>
      <c r="D81" s="349">
        <f t="shared" si="3"/>
        <v>228893.67927294335</v>
      </c>
      <c r="E81" s="138">
        <f t="shared" ca="1" si="4"/>
        <v>36284.082840798845</v>
      </c>
      <c r="I81" s="7" t="s">
        <v>360</v>
      </c>
      <c r="L81" s="260" t="s">
        <v>103</v>
      </c>
      <c r="M81" s="363">
        <f>+M96</f>
        <v>74</v>
      </c>
      <c r="N81" s="363">
        <v>298</v>
      </c>
      <c r="O81" s="349">
        <v>0</v>
      </c>
      <c r="P81" s="363">
        <f>+P96</f>
        <v>20.082666666666668</v>
      </c>
      <c r="Q81" s="363">
        <f>+Q96</f>
        <v>1.6286666666666667</v>
      </c>
      <c r="R81" s="373">
        <f>+R96</f>
        <v>-8.8520000000000003</v>
      </c>
      <c r="S81" s="270">
        <f t="shared" si="5"/>
        <v>16938.132266197808</v>
      </c>
      <c r="T81" s="138">
        <f t="shared" si="6"/>
        <v>228.89367927294336</v>
      </c>
    </row>
    <row r="82" spans="1:20">
      <c r="C82" s="210">
        <f ca="1">SUM(C75:C81)</f>
        <v>12.647693064238823</v>
      </c>
      <c r="D82" s="267"/>
      <c r="E82" s="356">
        <f ca="1">SUM(E75:E81)</f>
        <v>683454.36188977084</v>
      </c>
      <c r="I82" s="347">
        <f ca="1">+E82/1000</f>
        <v>683.45436188977078</v>
      </c>
    </row>
    <row r="84" spans="1:20">
      <c r="A84" s="7">
        <v>2</v>
      </c>
      <c r="B84" s="190" t="s">
        <v>326</v>
      </c>
    </row>
    <row r="86" spans="1:20">
      <c r="B86" s="266" t="s">
        <v>333</v>
      </c>
      <c r="D86" s="330">
        <f>+macro!I6</f>
        <v>1149.9479618696507</v>
      </c>
      <c r="E86" t="s">
        <v>334</v>
      </c>
      <c r="S86" s="360">
        <f>+D86+273</f>
        <v>1422.9479618696507</v>
      </c>
      <c r="T86" t="s">
        <v>365</v>
      </c>
    </row>
    <row r="87" spans="1:20">
      <c r="B87" s="266"/>
      <c r="D87" s="353"/>
      <c r="L87" s="183"/>
      <c r="M87" s="364"/>
      <c r="N87" s="365" t="s">
        <v>366</v>
      </c>
      <c r="O87" s="366" t="s">
        <v>367</v>
      </c>
      <c r="P87" s="1438" t="s">
        <v>368</v>
      </c>
      <c r="Q87" s="1438"/>
      <c r="R87" s="1439"/>
      <c r="S87" s="366" t="s">
        <v>369</v>
      </c>
      <c r="T87" s="183"/>
    </row>
    <row r="88" spans="1:20">
      <c r="C88" s="7" t="s">
        <v>151</v>
      </c>
      <c r="D88" s="7" t="s">
        <v>314</v>
      </c>
      <c r="E88" s="7" t="s">
        <v>315</v>
      </c>
      <c r="L88" s="260"/>
      <c r="M88" s="367" t="s">
        <v>370</v>
      </c>
      <c r="N88" s="368" t="s">
        <v>371</v>
      </c>
      <c r="O88" s="368" t="s">
        <v>372</v>
      </c>
      <c r="P88" s="369" t="s">
        <v>373</v>
      </c>
      <c r="Q88" s="367" t="s">
        <v>374</v>
      </c>
      <c r="R88" s="370" t="s">
        <v>375</v>
      </c>
      <c r="S88" s="371" t="s">
        <v>376</v>
      </c>
      <c r="T88" s="372" t="s">
        <v>220</v>
      </c>
    </row>
    <row r="89" spans="1:20">
      <c r="B89" s="183" t="s">
        <v>136</v>
      </c>
      <c r="C89" s="350">
        <f ca="1">+'Bal Mat Red'!C194</f>
        <v>0.45794212009106416</v>
      </c>
      <c r="D89" s="348">
        <f t="shared" ref="D89:D96" si="7">+T89*1000</f>
        <v>104518.40411682847</v>
      </c>
      <c r="E89" s="171">
        <f t="shared" ref="E89:E96" ca="1" si="8">+C89*D89</f>
        <v>47863.379569795041</v>
      </c>
      <c r="L89" s="183" t="s">
        <v>136</v>
      </c>
      <c r="M89" s="361">
        <f>118.7+16</f>
        <v>134.69999999999999</v>
      </c>
      <c r="N89" s="361">
        <v>298</v>
      </c>
      <c r="O89" s="348">
        <v>0</v>
      </c>
      <c r="P89" s="324">
        <v>9.4</v>
      </c>
      <c r="Q89" s="345">
        <v>3.62</v>
      </c>
      <c r="R89" s="350">
        <v>0</v>
      </c>
      <c r="S89" s="324">
        <f t="shared" ref="S89:S96" si="9">+(P89*($S$86-N89)+Q89*10^(-3)*($S$86^2-N89^2)/2-R89*10^5*($S$86^(-1)-N89^(-1)))+O89</f>
        <v>14078.629034536794</v>
      </c>
      <c r="T89" s="171">
        <f t="shared" ref="T89:T96" si="10">+S89/M89</f>
        <v>104.51840411682848</v>
      </c>
    </row>
    <row r="90" spans="1:20">
      <c r="B90" s="100" t="s">
        <v>134</v>
      </c>
      <c r="C90" s="351">
        <f ca="1">+'Bal Mat Red'!C195</f>
        <v>11.432169856519387</v>
      </c>
      <c r="D90" s="334">
        <f t="shared" si="7"/>
        <v>207030.24733256421</v>
      </c>
      <c r="E90" s="137">
        <f t="shared" ca="1" si="8"/>
        <v>2366804.9529430936</v>
      </c>
      <c r="L90" s="100" t="s">
        <v>134</v>
      </c>
      <c r="M90" s="362">
        <v>71.849999999999994</v>
      </c>
      <c r="N90" s="362">
        <v>298</v>
      </c>
      <c r="O90" s="334">
        <v>0</v>
      </c>
      <c r="P90" s="325">
        <v>11.66</v>
      </c>
      <c r="Q90" s="21">
        <v>2</v>
      </c>
      <c r="R90" s="351">
        <v>-0.67</v>
      </c>
      <c r="S90" s="325">
        <f t="shared" si="9"/>
        <v>14875.123270844737</v>
      </c>
      <c r="T90" s="137">
        <f t="shared" si="10"/>
        <v>207.03024733256422</v>
      </c>
    </row>
    <row r="91" spans="1:20">
      <c r="B91" s="100" t="s">
        <v>93</v>
      </c>
      <c r="C91" s="351">
        <f>+'Bal Mat Red'!C196</f>
        <v>21.161912104853506</v>
      </c>
      <c r="D91" s="334">
        <f t="shared" si="7"/>
        <v>298130.94293168734</v>
      </c>
      <c r="E91" s="137">
        <f t="shared" si="8"/>
        <v>6309020.8100574641</v>
      </c>
      <c r="L91" s="100" t="s">
        <v>93</v>
      </c>
      <c r="M91" s="362">
        <v>60</v>
      </c>
      <c r="N91" s="362">
        <v>1079</v>
      </c>
      <c r="O91" s="334">
        <v>11992.9</v>
      </c>
      <c r="P91" s="325">
        <v>17.384</v>
      </c>
      <c r="Q91" s="21">
        <v>0.318</v>
      </c>
      <c r="R91" s="351">
        <v>-9.8680000000000003</v>
      </c>
      <c r="S91" s="325">
        <f t="shared" si="9"/>
        <v>17887.856575901242</v>
      </c>
      <c r="T91" s="137">
        <f t="shared" si="10"/>
        <v>298.13094293168734</v>
      </c>
    </row>
    <row r="92" spans="1:20">
      <c r="B92" s="100" t="s">
        <v>105</v>
      </c>
      <c r="C92" s="351">
        <f>+'Bal Mat Red'!C197</f>
        <v>8.5098998923528502</v>
      </c>
      <c r="D92" s="334">
        <f t="shared" si="7"/>
        <v>303610.99076893181</v>
      </c>
      <c r="E92" s="137">
        <f t="shared" si="8"/>
        <v>2583699.137661675</v>
      </c>
      <c r="L92" s="100" t="s">
        <v>105</v>
      </c>
      <c r="M92" s="362">
        <f>27*2+16*3</f>
        <v>102</v>
      </c>
      <c r="N92" s="362">
        <v>298</v>
      </c>
      <c r="O92" s="334">
        <v>0</v>
      </c>
      <c r="P92" s="325">
        <v>25.48</v>
      </c>
      <c r="Q92" s="21">
        <v>4.25</v>
      </c>
      <c r="R92" s="351">
        <v>-6.82</v>
      </c>
      <c r="S92" s="325">
        <f t="shared" si="9"/>
        <v>30968.321058431044</v>
      </c>
      <c r="T92" s="137">
        <f t="shared" si="10"/>
        <v>303.6109907689318</v>
      </c>
    </row>
    <row r="93" spans="1:20">
      <c r="B93" s="100" t="s">
        <v>129</v>
      </c>
      <c r="C93" s="351">
        <f>+'Bal Mat Red'!C198</f>
        <v>14.915701137554322</v>
      </c>
      <c r="D93" s="334">
        <f t="shared" si="7"/>
        <v>249052.18920642103</v>
      </c>
      <c r="E93" s="137">
        <f t="shared" si="8"/>
        <v>3714788.0218566083</v>
      </c>
      <c r="L93" s="100" t="s">
        <v>129</v>
      </c>
      <c r="M93" s="362">
        <v>56</v>
      </c>
      <c r="N93" s="362">
        <v>298</v>
      </c>
      <c r="O93" s="334">
        <v>0</v>
      </c>
      <c r="P93" s="325">
        <v>11.86</v>
      </c>
      <c r="Q93" s="21">
        <v>1.08</v>
      </c>
      <c r="R93" s="351">
        <v>-1.66</v>
      </c>
      <c r="S93" s="325">
        <f t="shared" si="9"/>
        <v>13946.922595559578</v>
      </c>
      <c r="T93" s="137">
        <f t="shared" si="10"/>
        <v>249.05218920642102</v>
      </c>
    </row>
    <row r="94" spans="1:20">
      <c r="B94" s="100" t="s">
        <v>131</v>
      </c>
      <c r="C94" s="351">
        <f>+'Bal Mat Red'!C199</f>
        <v>0.55952127832600007</v>
      </c>
      <c r="D94" s="334">
        <f t="shared" si="7"/>
        <v>318162.50165377936</v>
      </c>
      <c r="E94" s="137">
        <f t="shared" si="8"/>
        <v>178018.68964072072</v>
      </c>
      <c r="L94" s="100" t="s">
        <v>131</v>
      </c>
      <c r="M94" s="362">
        <f>24.3+16</f>
        <v>40.299999999999997</v>
      </c>
      <c r="N94" s="362">
        <v>298</v>
      </c>
      <c r="O94" s="334">
        <v>0</v>
      </c>
      <c r="P94" s="325">
        <v>10.86</v>
      </c>
      <c r="Q94" s="21">
        <v>1.1970000000000001</v>
      </c>
      <c r="R94" s="351">
        <v>-2.0870000000000002</v>
      </c>
      <c r="S94" s="325">
        <f t="shared" si="9"/>
        <v>12821.948816647307</v>
      </c>
      <c r="T94" s="137">
        <f t="shared" si="10"/>
        <v>318.16250165377937</v>
      </c>
    </row>
    <row r="95" spans="1:20">
      <c r="B95" s="100" t="s">
        <v>156</v>
      </c>
      <c r="C95" s="1235">
        <v>0</v>
      </c>
      <c r="D95" s="334">
        <f t="shared" si="7"/>
        <v>379359.74611030263</v>
      </c>
      <c r="E95" s="137">
        <f t="shared" si="8"/>
        <v>0</v>
      </c>
      <c r="L95" s="100" t="s">
        <v>156</v>
      </c>
      <c r="M95" s="362">
        <v>12</v>
      </c>
      <c r="N95" s="362">
        <v>298</v>
      </c>
      <c r="O95" s="334">
        <v>0</v>
      </c>
      <c r="P95" s="325">
        <v>5.649</v>
      </c>
      <c r="Q95" s="21">
        <v>0.28299999999999997</v>
      </c>
      <c r="R95" s="351">
        <v>-7.827</v>
      </c>
      <c r="S95" s="325">
        <f t="shared" si="9"/>
        <v>4552.3169533236314</v>
      </c>
      <c r="T95" s="137">
        <f t="shared" si="10"/>
        <v>379.35974611030264</v>
      </c>
    </row>
    <row r="96" spans="1:20">
      <c r="B96" s="260" t="s">
        <v>103</v>
      </c>
      <c r="C96" s="352">
        <f ca="1">+'Bal Mat Red'!C200</f>
        <v>12.205991828240775</v>
      </c>
      <c r="D96" s="349">
        <f t="shared" si="7"/>
        <v>294866.2765934671</v>
      </c>
      <c r="E96" s="138">
        <f t="shared" ca="1" si="8"/>
        <v>3599135.3625236433</v>
      </c>
      <c r="I96" s="7" t="s">
        <v>360</v>
      </c>
      <c r="L96" s="260" t="s">
        <v>103</v>
      </c>
      <c r="M96" s="363">
        <f>+(M91*2+M92)/3</f>
        <v>74</v>
      </c>
      <c r="N96" s="363">
        <v>298</v>
      </c>
      <c r="O96" s="349">
        <v>0</v>
      </c>
      <c r="P96" s="363">
        <f>+(P91*2+P92)/3</f>
        <v>20.082666666666668</v>
      </c>
      <c r="Q96" s="363">
        <f>+(Q91*2+Q92)/3</f>
        <v>1.6286666666666667</v>
      </c>
      <c r="R96" s="373">
        <f>+(R91*2+R92)/3</f>
        <v>-8.8520000000000003</v>
      </c>
      <c r="S96" s="270">
        <f t="shared" si="9"/>
        <v>21820.104467916564</v>
      </c>
      <c r="T96" s="138">
        <f t="shared" si="10"/>
        <v>294.86627659346709</v>
      </c>
    </row>
    <row r="97" spans="1:20">
      <c r="C97" s="210">
        <f ca="1">SUM(C89:C96)</f>
        <v>69.906377053502311</v>
      </c>
      <c r="D97" s="267"/>
      <c r="E97" s="267">
        <f ca="1">SUM(E89:E96)</f>
        <v>18997438.949407838</v>
      </c>
      <c r="I97" s="347">
        <f ca="1">+E97/1000</f>
        <v>18997.438949407839</v>
      </c>
    </row>
    <row r="99" spans="1:20">
      <c r="A99" s="7">
        <v>3</v>
      </c>
      <c r="B99" s="190" t="s">
        <v>327</v>
      </c>
    </row>
    <row r="101" spans="1:20">
      <c r="B101" s="266" t="s">
        <v>333</v>
      </c>
      <c r="D101" s="331">
        <f>+D86+50</f>
        <v>1199.9479618696507</v>
      </c>
      <c r="E101" t="s">
        <v>334</v>
      </c>
      <c r="S101" s="360">
        <f>+D101+273</f>
        <v>1472.9479618696507</v>
      </c>
      <c r="T101" t="s">
        <v>365</v>
      </c>
    </row>
    <row r="102" spans="1:20">
      <c r="B102" s="266"/>
      <c r="D102" s="353"/>
      <c r="L102" s="183"/>
      <c r="M102" s="364"/>
      <c r="N102" s="365" t="s">
        <v>366</v>
      </c>
      <c r="O102" s="366" t="s">
        <v>367</v>
      </c>
      <c r="P102" s="1438" t="s">
        <v>368</v>
      </c>
      <c r="Q102" s="1438"/>
      <c r="R102" s="1439"/>
      <c r="S102" s="366" t="s">
        <v>369</v>
      </c>
      <c r="T102" s="183"/>
    </row>
    <row r="103" spans="1:20">
      <c r="C103" s="7" t="s">
        <v>151</v>
      </c>
      <c r="D103" s="7" t="s">
        <v>314</v>
      </c>
      <c r="E103" s="7" t="s">
        <v>315</v>
      </c>
      <c r="L103" s="260"/>
      <c r="M103" s="367" t="s">
        <v>370</v>
      </c>
      <c r="N103" s="368" t="s">
        <v>371</v>
      </c>
      <c r="O103" s="368" t="s">
        <v>372</v>
      </c>
      <c r="P103" s="369" t="s">
        <v>373</v>
      </c>
      <c r="Q103" s="367" t="s">
        <v>374</v>
      </c>
      <c r="R103" s="370" t="s">
        <v>375</v>
      </c>
      <c r="S103" s="371" t="s">
        <v>376</v>
      </c>
      <c r="T103" s="372" t="s">
        <v>220</v>
      </c>
    </row>
    <row r="104" spans="1:20">
      <c r="B104" s="183" t="s">
        <v>217</v>
      </c>
      <c r="C104" s="350">
        <f ca="1">+'Bal Mat Red'!C229</f>
        <v>3.224228199944672</v>
      </c>
      <c r="D104" s="348">
        <f t="shared" ref="D104:D111" si="11">+T104*1000</f>
        <v>320383.37359363091</v>
      </c>
      <c r="E104" s="171">
        <f t="shared" ref="E104:E111" ca="1" si="12">+C104*D104</f>
        <v>1032989.1079339939</v>
      </c>
      <c r="F104" s="267"/>
      <c r="L104" s="183" t="s">
        <v>217</v>
      </c>
      <c r="M104" s="374">
        <v>44</v>
      </c>
      <c r="N104" s="361">
        <v>298</v>
      </c>
      <c r="O104" s="348">
        <v>0</v>
      </c>
      <c r="P104" s="324">
        <v>10.55</v>
      </c>
      <c r="Q104" s="345">
        <v>2.16</v>
      </c>
      <c r="R104" s="350">
        <v>-2.04</v>
      </c>
      <c r="S104" s="324">
        <f t="shared" ref="S104:S111" si="13">+(P104*($S$101-N104)+Q104*10^(-3)*($S$101^2-N104^2)/2-R104*10^5*($S$101^(-1)-N104^(-1)))+O104</f>
        <v>14096.868438119758</v>
      </c>
      <c r="T104" s="171">
        <f t="shared" ref="T104:T111" si="14">+S104/M104</f>
        <v>320.38337359363089</v>
      </c>
    </row>
    <row r="105" spans="1:20">
      <c r="B105" s="100" t="s">
        <v>195</v>
      </c>
      <c r="C105" s="351">
        <f ca="1">+'Bal Mat Red'!C230</f>
        <v>3.7444858849584879</v>
      </c>
      <c r="D105" s="334">
        <f t="shared" si="11"/>
        <v>320286.78779773536</v>
      </c>
      <c r="E105" s="137">
        <f t="shared" ca="1" si="12"/>
        <v>1199309.3560473146</v>
      </c>
      <c r="F105" s="267"/>
      <c r="L105" s="100" t="s">
        <v>195</v>
      </c>
      <c r="M105" s="375">
        <v>28</v>
      </c>
      <c r="N105" s="362">
        <v>298</v>
      </c>
      <c r="O105" s="334">
        <v>0</v>
      </c>
      <c r="P105" s="325">
        <v>6.79</v>
      </c>
      <c r="Q105" s="21">
        <v>0.98</v>
      </c>
      <c r="R105" s="351">
        <v>-0.11</v>
      </c>
      <c r="S105" s="325">
        <f t="shared" si="13"/>
        <v>8968.0300583365897</v>
      </c>
      <c r="T105" s="137">
        <f t="shared" si="14"/>
        <v>320.28678779773537</v>
      </c>
    </row>
    <row r="106" spans="1:20">
      <c r="B106" s="100" t="s">
        <v>219</v>
      </c>
      <c r="C106" s="351">
        <f>+'Bal Mat Red'!C231</f>
        <v>10.263051615099862</v>
      </c>
      <c r="D106" s="334">
        <f t="shared" si="11"/>
        <v>317369.53543655761</v>
      </c>
      <c r="E106" s="137">
        <f t="shared" si="12"/>
        <v>3257179.9232456554</v>
      </c>
      <c r="F106" s="267"/>
      <c r="L106" s="100" t="s">
        <v>219</v>
      </c>
      <c r="M106" s="375">
        <v>28</v>
      </c>
      <c r="N106" s="362">
        <v>298</v>
      </c>
      <c r="O106" s="334">
        <v>0</v>
      </c>
      <c r="P106" s="325">
        <v>6.66</v>
      </c>
      <c r="Q106" s="21">
        <v>1.02</v>
      </c>
      <c r="R106" s="351">
        <v>0</v>
      </c>
      <c r="S106" s="325">
        <f t="shared" si="13"/>
        <v>8886.3469922236127</v>
      </c>
      <c r="T106" s="137">
        <f t="shared" si="14"/>
        <v>317.36953543655761</v>
      </c>
    </row>
    <row r="107" spans="1:20">
      <c r="B107" s="100" t="s">
        <v>239</v>
      </c>
      <c r="C107" s="351">
        <f>+'Bal Mat Red'!C232</f>
        <v>0</v>
      </c>
      <c r="D107" s="334">
        <f t="shared" si="11"/>
        <v>225913.0490737294</v>
      </c>
      <c r="E107" s="137">
        <f t="shared" si="12"/>
        <v>0</v>
      </c>
      <c r="F107" s="267"/>
      <c r="L107" s="100" t="s">
        <v>239</v>
      </c>
      <c r="M107" s="375">
        <v>64</v>
      </c>
      <c r="N107" s="362">
        <v>298</v>
      </c>
      <c r="O107" s="334">
        <v>0</v>
      </c>
      <c r="P107" s="325">
        <v>10.38</v>
      </c>
      <c r="Q107" s="21">
        <v>2.54</v>
      </c>
      <c r="R107" s="351">
        <v>-1.42</v>
      </c>
      <c r="S107" s="325">
        <f t="shared" si="13"/>
        <v>14458.435140718682</v>
      </c>
      <c r="T107" s="137">
        <f t="shared" si="14"/>
        <v>225.91304907372941</v>
      </c>
    </row>
    <row r="108" spans="1:20">
      <c r="B108" s="100" t="s">
        <v>150</v>
      </c>
      <c r="C108" s="351">
        <f>+'Bal Mat Red'!C233</f>
        <v>3.4473134237110497</v>
      </c>
      <c r="D108" s="334">
        <f t="shared" si="11"/>
        <v>658548.0609345776</v>
      </c>
      <c r="E108" s="137">
        <f t="shared" si="12"/>
        <v>2270221.5706186518</v>
      </c>
      <c r="F108" s="267"/>
      <c r="L108" s="100" t="s">
        <v>150</v>
      </c>
      <c r="M108" s="375">
        <v>18</v>
      </c>
      <c r="N108" s="362">
        <v>373</v>
      </c>
      <c r="O108" s="334">
        <v>1352.25</v>
      </c>
      <c r="P108" s="325">
        <v>7.17</v>
      </c>
      <c r="Q108" s="21">
        <v>2.56</v>
      </c>
      <c r="R108" s="351">
        <v>0.08</v>
      </c>
      <c r="S108" s="325">
        <f t="shared" si="13"/>
        <v>11853.865096822397</v>
      </c>
      <c r="T108" s="137">
        <f t="shared" si="14"/>
        <v>658.54806093457762</v>
      </c>
    </row>
    <row r="109" spans="1:20">
      <c r="B109" s="173" t="s">
        <v>216</v>
      </c>
      <c r="C109" s="390">
        <f>+'Bal Mat Red'!C234</f>
        <v>7.6722917473374078E-2</v>
      </c>
      <c r="D109" s="334">
        <f t="shared" si="11"/>
        <v>1139916.2113778556</v>
      </c>
      <c r="E109" s="137">
        <f t="shared" si="12"/>
        <v>87457.697412104462</v>
      </c>
      <c r="F109" s="267"/>
      <c r="L109" s="173" t="s">
        <v>215</v>
      </c>
      <c r="M109" s="375">
        <v>16</v>
      </c>
      <c r="N109" s="362">
        <v>298</v>
      </c>
      <c r="O109" s="334">
        <v>0</v>
      </c>
      <c r="P109" s="325">
        <v>5.34</v>
      </c>
      <c r="Q109" s="21">
        <v>11.5</v>
      </c>
      <c r="R109" s="351">
        <v>0</v>
      </c>
      <c r="S109" s="325">
        <f t="shared" si="13"/>
        <v>18238.659382045691</v>
      </c>
      <c r="T109" s="137">
        <f t="shared" si="14"/>
        <v>1139.9162113778557</v>
      </c>
    </row>
    <row r="110" spans="1:20">
      <c r="B110" s="173" t="s">
        <v>245</v>
      </c>
      <c r="C110" s="351">
        <f ca="1">+'Bal Mat Red'!C235</f>
        <v>0</v>
      </c>
      <c r="D110" s="334">
        <f t="shared" si="11"/>
        <v>292060.67164607695</v>
      </c>
      <c r="E110" s="137">
        <f t="shared" ca="1" si="12"/>
        <v>0</v>
      </c>
      <c r="F110" s="267"/>
      <c r="L110" s="173" t="s">
        <v>245</v>
      </c>
      <c r="M110" s="376">
        <v>32</v>
      </c>
      <c r="N110" s="362">
        <v>298</v>
      </c>
      <c r="O110" s="334">
        <v>0</v>
      </c>
      <c r="P110" s="325">
        <v>7.16</v>
      </c>
      <c r="Q110" s="21">
        <v>1</v>
      </c>
      <c r="R110" s="351">
        <v>-0.4</v>
      </c>
      <c r="S110" s="325">
        <f t="shared" si="13"/>
        <v>9345.941492674463</v>
      </c>
      <c r="T110" s="137">
        <f t="shared" si="14"/>
        <v>292.06067164607697</v>
      </c>
    </row>
    <row r="111" spans="1:20">
      <c r="B111" s="260" t="s">
        <v>240</v>
      </c>
      <c r="C111" s="352">
        <f>+'Bal Mat Red'!C236</f>
        <v>0</v>
      </c>
      <c r="D111" s="349">
        <f t="shared" si="11"/>
        <v>162393.26980621871</v>
      </c>
      <c r="E111" s="138">
        <f t="shared" si="12"/>
        <v>0</v>
      </c>
      <c r="F111" s="267"/>
      <c r="I111" s="7" t="s">
        <v>360</v>
      </c>
      <c r="L111" s="260" t="s">
        <v>240</v>
      </c>
      <c r="M111" s="373">
        <v>64</v>
      </c>
      <c r="N111" s="363">
        <v>298</v>
      </c>
      <c r="O111" s="349">
        <v>0</v>
      </c>
      <c r="P111" s="363">
        <v>8.58</v>
      </c>
      <c r="Q111" s="349">
        <v>0.3</v>
      </c>
      <c r="R111" s="373">
        <v>0</v>
      </c>
      <c r="S111" s="270">
        <f t="shared" si="13"/>
        <v>10393.169267597998</v>
      </c>
      <c r="T111" s="138">
        <f t="shared" si="14"/>
        <v>162.39326980621871</v>
      </c>
    </row>
    <row r="112" spans="1:20">
      <c r="C112" s="210">
        <f ca="1">SUM(C104:C111)</f>
        <v>20.755802041187451</v>
      </c>
      <c r="D112" s="267"/>
      <c r="E112" s="356">
        <f ca="1">SUM(E104:E111)</f>
        <v>7847157.6552577196</v>
      </c>
      <c r="I112" s="347">
        <f ca="1">+E112/1000</f>
        <v>7847.1576552577199</v>
      </c>
    </row>
    <row r="114" spans="1:20">
      <c r="A114" s="7">
        <v>4</v>
      </c>
      <c r="B114" s="190" t="s">
        <v>328</v>
      </c>
    </row>
    <row r="116" spans="1:20">
      <c r="B116" s="266" t="s">
        <v>333</v>
      </c>
      <c r="D116" s="331">
        <f>+D72</f>
        <v>924.94796186965073</v>
      </c>
      <c r="E116" t="s">
        <v>334</v>
      </c>
      <c r="S116" s="360">
        <f>+D116+273</f>
        <v>1197.9479618696507</v>
      </c>
      <c r="T116" t="s">
        <v>365</v>
      </c>
    </row>
    <row r="117" spans="1:20">
      <c r="B117" s="266"/>
      <c r="D117" s="353"/>
      <c r="L117" s="183"/>
      <c r="M117" s="364"/>
      <c r="N117" s="365" t="s">
        <v>366</v>
      </c>
      <c r="O117" s="366" t="s">
        <v>367</v>
      </c>
      <c r="P117" s="1438" t="s">
        <v>368</v>
      </c>
      <c r="Q117" s="1438"/>
      <c r="R117" s="1439"/>
      <c r="S117" s="366" t="s">
        <v>369</v>
      </c>
      <c r="T117" s="183"/>
    </row>
    <row r="118" spans="1:20">
      <c r="C118" s="7" t="s">
        <v>151</v>
      </c>
      <c r="D118" s="7" t="s">
        <v>314</v>
      </c>
      <c r="E118" s="7" t="s">
        <v>315</v>
      </c>
      <c r="L118" s="260"/>
      <c r="M118" s="367" t="s">
        <v>370</v>
      </c>
      <c r="N118" s="368" t="s">
        <v>371</v>
      </c>
      <c r="O118" s="368" t="s">
        <v>372</v>
      </c>
      <c r="P118" s="369" t="s">
        <v>373</v>
      </c>
      <c r="Q118" s="367" t="s">
        <v>374</v>
      </c>
      <c r="R118" s="370" t="s">
        <v>375</v>
      </c>
      <c r="S118" s="371" t="s">
        <v>376</v>
      </c>
      <c r="T118" s="372" t="s">
        <v>220</v>
      </c>
    </row>
    <row r="119" spans="1:20">
      <c r="B119" s="183" t="s">
        <v>7</v>
      </c>
      <c r="C119" s="350">
        <f ca="1">+'Bal Mat Red'!C205</f>
        <v>3.7362886318029531</v>
      </c>
      <c r="D119" s="348">
        <f t="shared" ref="D119:D125" si="15">+T119*1000</f>
        <v>50039.229556357997</v>
      </c>
      <c r="E119" s="171">
        <f t="shared" ref="E119:E125" ca="1" si="16">+C119*D119</f>
        <v>186961.00453559871</v>
      </c>
      <c r="L119" s="183" t="s">
        <v>7</v>
      </c>
      <c r="M119" s="361">
        <v>118.7</v>
      </c>
      <c r="N119" s="361">
        <v>298</v>
      </c>
      <c r="O119" s="348">
        <v>0</v>
      </c>
      <c r="P119" s="324">
        <v>6.6</v>
      </c>
      <c r="Q119" s="345">
        <v>0</v>
      </c>
      <c r="R119" s="350">
        <v>0</v>
      </c>
      <c r="S119" s="324">
        <f t="shared" ref="S119:S124" si="17">+(P119*($S$116-N119)+Q119*10^(-3)*($S$116^2-N119^2)/2-R119*10^5*($S$116^(-1)-N119^(-1)))+O119</f>
        <v>5939.6565483396944</v>
      </c>
      <c r="T119" s="171">
        <f t="shared" ref="T119:T125" si="18">+S119/M119</f>
        <v>50.039229556357995</v>
      </c>
    </row>
    <row r="120" spans="1:20">
      <c r="B120" s="100" t="s">
        <v>10</v>
      </c>
      <c r="C120" s="351">
        <f>+'Bal Mat Red'!C206</f>
        <v>0.25863921044264954</v>
      </c>
      <c r="D120" s="334">
        <f t="shared" si="15"/>
        <v>131326.33642323461</v>
      </c>
      <c r="E120" s="137">
        <f t="shared" si="16"/>
        <v>33966.139962831163</v>
      </c>
      <c r="L120" s="100" t="s">
        <v>10</v>
      </c>
      <c r="M120" s="362">
        <v>55.85</v>
      </c>
      <c r="N120" s="362">
        <v>298</v>
      </c>
      <c r="O120" s="334">
        <v>0</v>
      </c>
      <c r="P120" s="325">
        <v>8.15</v>
      </c>
      <c r="Q120" s="21">
        <v>0</v>
      </c>
      <c r="R120" s="351">
        <v>0</v>
      </c>
      <c r="S120" s="325">
        <f t="shared" si="17"/>
        <v>7334.5758892376534</v>
      </c>
      <c r="T120" s="137">
        <f t="shared" si="18"/>
        <v>131.32633642323461</v>
      </c>
    </row>
    <row r="121" spans="1:20">
      <c r="B121" s="100" t="s">
        <v>6</v>
      </c>
      <c r="C121" s="351">
        <f ca="1">+'Bal Mat Red'!C207</f>
        <v>0</v>
      </c>
      <c r="D121" s="334">
        <f t="shared" si="15"/>
        <v>29534.971721590853</v>
      </c>
      <c r="E121" s="137">
        <f t="shared" ca="1" si="16"/>
        <v>0</v>
      </c>
      <c r="L121" s="100" t="s">
        <v>6</v>
      </c>
      <c r="M121" s="362">
        <v>207.2</v>
      </c>
      <c r="N121" s="362">
        <v>298</v>
      </c>
      <c r="O121" s="334">
        <v>0</v>
      </c>
      <c r="P121" s="325">
        <v>6.8</v>
      </c>
      <c r="Q121" s="21">
        <v>0</v>
      </c>
      <c r="R121" s="351">
        <v>0</v>
      </c>
      <c r="S121" s="325">
        <f t="shared" si="17"/>
        <v>6119.6461407136248</v>
      </c>
      <c r="T121" s="137">
        <f t="shared" si="18"/>
        <v>29.534971721590853</v>
      </c>
    </row>
    <row r="122" spans="1:20">
      <c r="B122" s="100" t="s">
        <v>8</v>
      </c>
      <c r="C122" s="351">
        <f ca="1">+'Bal Mat Red'!C208</f>
        <v>3.3926492871451134E-3</v>
      </c>
      <c r="D122" s="334">
        <f t="shared" si="15"/>
        <v>52829.457531756998</v>
      </c>
      <c r="E122" s="137">
        <f t="shared" ca="1" si="16"/>
        <v>179.23182143537844</v>
      </c>
      <c r="L122" s="100" t="s">
        <v>8</v>
      </c>
      <c r="M122" s="362">
        <v>121.8</v>
      </c>
      <c r="N122" s="362">
        <v>298</v>
      </c>
      <c r="O122" s="334">
        <v>0</v>
      </c>
      <c r="P122" s="325">
        <v>7.15</v>
      </c>
      <c r="Q122" s="21">
        <v>0</v>
      </c>
      <c r="R122" s="351">
        <v>0</v>
      </c>
      <c r="S122" s="325">
        <f t="shared" si="17"/>
        <v>6434.6279273680029</v>
      </c>
      <c r="T122" s="137">
        <f t="shared" si="18"/>
        <v>52.829457531757001</v>
      </c>
    </row>
    <row r="123" spans="1:20">
      <c r="B123" s="100" t="s">
        <v>9</v>
      </c>
      <c r="C123" s="351">
        <f ca="1">+'Bal Mat Red'!C209</f>
        <v>6.2391085920081427E-2</v>
      </c>
      <c r="D123" s="334">
        <f t="shared" si="15"/>
        <v>83149.173384550653</v>
      </c>
      <c r="E123" s="137">
        <f t="shared" ca="1" si="16"/>
        <v>5187.767220819248</v>
      </c>
      <c r="L123" s="100" t="s">
        <v>9</v>
      </c>
      <c r="M123" s="362">
        <v>74.900000000000006</v>
      </c>
      <c r="N123" s="362">
        <v>298</v>
      </c>
      <c r="O123" s="334">
        <v>0</v>
      </c>
      <c r="P123" s="325">
        <v>5.17</v>
      </c>
      <c r="Q123" s="21">
        <v>2.34</v>
      </c>
      <c r="R123" s="351">
        <v>0</v>
      </c>
      <c r="S123" s="325">
        <f t="shared" si="17"/>
        <v>6227.8730865028447</v>
      </c>
      <c r="T123" s="137">
        <f t="shared" si="18"/>
        <v>83.14917338455065</v>
      </c>
    </row>
    <row r="124" spans="1:20">
      <c r="B124" s="100" t="s">
        <v>75</v>
      </c>
      <c r="C124" s="351">
        <f ca="1">+'Bal Mat Red'!C210</f>
        <v>1.1480398303636745E-2</v>
      </c>
      <c r="D124" s="334">
        <f t="shared" si="15"/>
        <v>106293.06636255718</v>
      </c>
      <c r="E124" s="137">
        <f t="shared" ca="1" si="16"/>
        <v>1220.2867387570493</v>
      </c>
      <c r="L124" s="100" t="s">
        <v>75</v>
      </c>
      <c r="M124" s="362">
        <v>63.5</v>
      </c>
      <c r="N124" s="362">
        <v>298</v>
      </c>
      <c r="O124" s="334">
        <v>0</v>
      </c>
      <c r="P124" s="325">
        <v>7.5</v>
      </c>
      <c r="Q124" s="21">
        <v>0</v>
      </c>
      <c r="R124" s="351">
        <v>0</v>
      </c>
      <c r="S124" s="325">
        <f t="shared" si="17"/>
        <v>6749.6097140223801</v>
      </c>
      <c r="T124" s="137">
        <f t="shared" si="18"/>
        <v>106.29306636255717</v>
      </c>
    </row>
    <row r="125" spans="1:20">
      <c r="B125" s="358" t="s">
        <v>103</v>
      </c>
      <c r="C125" s="352">
        <f ca="1">+'Bal Mat Red'!C211</f>
        <v>1.1096356207491613</v>
      </c>
      <c r="D125" s="349">
        <f t="shared" si="15"/>
        <v>228893.67927294335</v>
      </c>
      <c r="E125" s="138">
        <f t="shared" ca="1" si="16"/>
        <v>253988.57988559193</v>
      </c>
      <c r="I125" s="7" t="s">
        <v>360</v>
      </c>
      <c r="L125" s="260" t="s">
        <v>103</v>
      </c>
      <c r="M125" s="363">
        <f>+M96</f>
        <v>74</v>
      </c>
      <c r="N125" s="363">
        <v>298</v>
      </c>
      <c r="O125" s="349">
        <v>0</v>
      </c>
      <c r="P125" s="363">
        <f>+P96</f>
        <v>20.082666666666668</v>
      </c>
      <c r="Q125" s="363">
        <f>+Q96</f>
        <v>1.6286666666666667</v>
      </c>
      <c r="R125" s="363">
        <f>+R96</f>
        <v>-8.8520000000000003</v>
      </c>
      <c r="S125" s="270">
        <f>+(P125*($S$72-N125)+Q125*10^(-3)*($S$72^2-N125^2)/2-R125*10^5*($S$72^(-1)-N125^(-1)))+O125</f>
        <v>16938.132266197808</v>
      </c>
      <c r="T125" s="138">
        <f t="shared" si="18"/>
        <v>228.89367927294336</v>
      </c>
    </row>
    <row r="126" spans="1:20">
      <c r="C126" s="210">
        <f ca="1">SUM(C119:C125)</f>
        <v>5.2255785060181088</v>
      </c>
      <c r="D126" s="267"/>
      <c r="E126" s="267">
        <f ca="1">SUM(E119:E125)</f>
        <v>487248.65682649217</v>
      </c>
      <c r="I126" s="347">
        <f ca="1">+E126/1000</f>
        <v>487.24865682649215</v>
      </c>
    </row>
    <row r="128" spans="1:20">
      <c r="A128" s="7">
        <v>5</v>
      </c>
      <c r="B128" s="190" t="s">
        <v>329</v>
      </c>
    </row>
    <row r="130" spans="1:20">
      <c r="B130" s="266" t="s">
        <v>333</v>
      </c>
      <c r="D130" s="331">
        <f>+D101</f>
        <v>1199.9479618696507</v>
      </c>
      <c r="E130" t="s">
        <v>334</v>
      </c>
      <c r="S130" s="360">
        <f>+D130+273</f>
        <v>1472.9479618696507</v>
      </c>
      <c r="T130" t="s">
        <v>365</v>
      </c>
    </row>
    <row r="131" spans="1:20">
      <c r="B131" s="266"/>
      <c r="D131" s="353"/>
      <c r="L131" s="183"/>
      <c r="M131" s="364"/>
      <c r="N131" s="365" t="s">
        <v>366</v>
      </c>
      <c r="O131" s="366" t="s">
        <v>367</v>
      </c>
      <c r="P131" s="1438" t="s">
        <v>368</v>
      </c>
      <c r="Q131" s="1438"/>
      <c r="R131" s="1439"/>
      <c r="S131" s="366" t="s">
        <v>369</v>
      </c>
      <c r="T131" s="183"/>
    </row>
    <row r="132" spans="1:20">
      <c r="C132" s="7" t="s">
        <v>151</v>
      </c>
      <c r="D132" s="7" t="s">
        <v>314</v>
      </c>
      <c r="E132" s="7" t="s">
        <v>315</v>
      </c>
      <c r="L132" s="260"/>
      <c r="M132" s="367" t="s">
        <v>370</v>
      </c>
      <c r="N132" s="368" t="s">
        <v>371</v>
      </c>
      <c r="O132" s="368" t="s">
        <v>372</v>
      </c>
      <c r="P132" s="369" t="s">
        <v>373</v>
      </c>
      <c r="Q132" s="367" t="s">
        <v>374</v>
      </c>
      <c r="R132" s="370" t="s">
        <v>375</v>
      </c>
      <c r="S132" s="371" t="s">
        <v>376</v>
      </c>
      <c r="T132" s="372" t="s">
        <v>220</v>
      </c>
    </row>
    <row r="133" spans="1:20">
      <c r="B133" s="183" t="s">
        <v>377</v>
      </c>
      <c r="C133" s="350">
        <f ca="1">+'Bal Mat Red'!C216</f>
        <v>3.0418236370540956</v>
      </c>
      <c r="D133" s="348">
        <f t="shared" ref="D133:D141" si="19">+T133*1000</f>
        <v>74247.472957180129</v>
      </c>
      <c r="E133" s="171">
        <f t="shared" ref="E133:E141" ca="1" si="20">+C133*D133</f>
        <v>225847.71823268526</v>
      </c>
      <c r="L133" s="183" t="s">
        <v>377</v>
      </c>
      <c r="M133" s="361">
        <f>118.7+16</f>
        <v>134.69999999999999</v>
      </c>
      <c r="N133" s="361">
        <v>298</v>
      </c>
      <c r="O133" s="348">
        <v>0</v>
      </c>
      <c r="P133" s="324">
        <v>8.42</v>
      </c>
      <c r="Q133" s="345">
        <v>0.32</v>
      </c>
      <c r="R133" s="350">
        <v>-0.84</v>
      </c>
      <c r="S133" s="324">
        <f t="shared" ref="S133:S141" si="21">+(P133*($S$130-N133)+Q133*10^(-3)*($S$130^2-N133^2)/2-R133*10^5*($S$130^(-1)-N133^(-1)))+O133</f>
        <v>10001.134607332164</v>
      </c>
      <c r="T133" s="171">
        <f t="shared" ref="T133:T141" si="22">+S133/M133</f>
        <v>74.247472957180136</v>
      </c>
    </row>
    <row r="134" spans="1:20">
      <c r="B134" s="100" t="s">
        <v>104</v>
      </c>
      <c r="C134" s="351">
        <f ca="1">+'Bal Mat Red'!C217</f>
        <v>0</v>
      </c>
      <c r="D134" s="334">
        <f>+T134*1000</f>
        <v>143214.34987606943</v>
      </c>
      <c r="E134" s="137">
        <f ca="1">+C134*D134</f>
        <v>0</v>
      </c>
      <c r="L134" s="183" t="s">
        <v>104</v>
      </c>
      <c r="M134" s="361">
        <f>118.7+16*2</f>
        <v>150.69999999999999</v>
      </c>
      <c r="N134" s="361">
        <v>298</v>
      </c>
      <c r="O134" s="348">
        <v>0</v>
      </c>
      <c r="P134" s="324">
        <v>13.94</v>
      </c>
      <c r="Q134" s="345">
        <v>5.65</v>
      </c>
      <c r="R134" s="350">
        <v>-2.52</v>
      </c>
      <c r="S134" s="325">
        <f t="shared" si="21"/>
        <v>21582.402526323662</v>
      </c>
      <c r="T134" s="171">
        <f t="shared" si="22"/>
        <v>143.21434987606943</v>
      </c>
    </row>
    <row r="135" spans="1:20">
      <c r="B135" s="173" t="s">
        <v>378</v>
      </c>
      <c r="C135" s="351">
        <f>+'Bal Mat Red'!C218</f>
        <v>8.211749760822068E-2</v>
      </c>
      <c r="D135" s="334">
        <f t="shared" si="19"/>
        <v>68419.360958402525</v>
      </c>
      <c r="E135" s="137">
        <f t="shared" si="20"/>
        <v>5618.4267098576065</v>
      </c>
      <c r="L135" s="173" t="s">
        <v>378</v>
      </c>
      <c r="M135" s="362">
        <f>118.7+32</f>
        <v>150.69999999999999</v>
      </c>
      <c r="N135" s="362">
        <v>298</v>
      </c>
      <c r="O135" s="334">
        <v>0</v>
      </c>
      <c r="P135" s="325">
        <v>8.83</v>
      </c>
      <c r="Q135" s="21">
        <v>0.08</v>
      </c>
      <c r="R135" s="351">
        <v>-0.55000000000000004</v>
      </c>
      <c r="S135" s="325">
        <f t="shared" si="21"/>
        <v>10310.79769643126</v>
      </c>
      <c r="T135" s="137">
        <f t="shared" si="22"/>
        <v>68.419360958402521</v>
      </c>
    </row>
    <row r="136" spans="1:20">
      <c r="B136" s="100" t="s">
        <v>134</v>
      </c>
      <c r="C136" s="351">
        <f>+'Bal Mat Red'!C219</f>
        <v>7.6053622285425213E-2</v>
      </c>
      <c r="D136" s="334">
        <f t="shared" si="19"/>
        <v>217137.3657607965</v>
      </c>
      <c r="E136" s="137">
        <f t="shared" si="20"/>
        <v>16514.083199623838</v>
      </c>
      <c r="L136" s="100" t="s">
        <v>134</v>
      </c>
      <c r="M136" s="362">
        <v>71.849999999999994</v>
      </c>
      <c r="N136" s="362">
        <v>298</v>
      </c>
      <c r="O136" s="334">
        <v>0</v>
      </c>
      <c r="P136" s="325">
        <v>11.66</v>
      </c>
      <c r="Q136" s="21">
        <v>2</v>
      </c>
      <c r="R136" s="351">
        <v>-0.67</v>
      </c>
      <c r="S136" s="325">
        <f t="shared" si="21"/>
        <v>15601.319729913228</v>
      </c>
      <c r="T136" s="137">
        <f t="shared" si="22"/>
        <v>217.13736576079651</v>
      </c>
    </row>
    <row r="137" spans="1:20">
      <c r="B137" s="100" t="s">
        <v>6</v>
      </c>
      <c r="C137" s="351">
        <f ca="1">+'Bal Mat Red'!C220</f>
        <v>7.5719218460090654E-3</v>
      </c>
      <c r="D137" s="334">
        <f t="shared" si="19"/>
        <v>38560.068246687377</v>
      </c>
      <c r="E137" s="137">
        <f t="shared" ca="1" si="20"/>
        <v>291.97382314069262</v>
      </c>
      <c r="L137" s="100" t="s">
        <v>6</v>
      </c>
      <c r="M137" s="362">
        <v>207.2</v>
      </c>
      <c r="N137" s="362">
        <v>298</v>
      </c>
      <c r="O137" s="334">
        <v>0</v>
      </c>
      <c r="P137" s="325">
        <v>6.8</v>
      </c>
      <c r="Q137" s="21">
        <v>0</v>
      </c>
      <c r="R137" s="351">
        <v>0</v>
      </c>
      <c r="S137" s="325">
        <f t="shared" si="21"/>
        <v>7989.6461407136248</v>
      </c>
      <c r="T137" s="137">
        <f t="shared" si="22"/>
        <v>38.560068246687379</v>
      </c>
    </row>
    <row r="138" spans="1:20">
      <c r="B138" s="100" t="s">
        <v>8</v>
      </c>
      <c r="C138" s="351">
        <f ca="1">+'Bal Mat Red'!C221</f>
        <v>3.3926492871451134E-3</v>
      </c>
      <c r="D138" s="334">
        <f t="shared" si="19"/>
        <v>68972.725183645351</v>
      </c>
      <c r="E138" s="137">
        <f t="shared" ca="1" si="20"/>
        <v>234.00026692675021</v>
      </c>
      <c r="L138" s="100" t="s">
        <v>8</v>
      </c>
      <c r="M138" s="362">
        <v>121.8</v>
      </c>
      <c r="N138" s="362">
        <v>298</v>
      </c>
      <c r="O138" s="334">
        <v>0</v>
      </c>
      <c r="P138" s="325">
        <v>7.15</v>
      </c>
      <c r="Q138" s="21">
        <v>0</v>
      </c>
      <c r="R138" s="351">
        <v>0</v>
      </c>
      <c r="S138" s="325">
        <f t="shared" si="21"/>
        <v>8400.8779273680029</v>
      </c>
      <c r="T138" s="137">
        <f t="shared" si="22"/>
        <v>68.972725183645352</v>
      </c>
    </row>
    <row r="139" spans="1:20">
      <c r="B139" s="100" t="s">
        <v>9</v>
      </c>
      <c r="C139" s="351">
        <f ca="1">+'Bal Mat Red'!C222</f>
        <v>2.0797028640027145E-2</v>
      </c>
      <c r="D139" s="334">
        <f t="shared" si="19"/>
        <v>113604.59078726255</v>
      </c>
      <c r="E139" s="137">
        <f t="shared" ca="1" si="20"/>
        <v>2362.6379282412631</v>
      </c>
      <c r="L139" s="100" t="s">
        <v>9</v>
      </c>
      <c r="M139" s="362">
        <v>74.900000000000006</v>
      </c>
      <c r="N139" s="362">
        <v>298</v>
      </c>
      <c r="O139" s="334">
        <v>0</v>
      </c>
      <c r="P139" s="325">
        <v>5.17</v>
      </c>
      <c r="Q139" s="21">
        <v>2.34</v>
      </c>
      <c r="R139" s="351">
        <v>0</v>
      </c>
      <c r="S139" s="325">
        <f t="shared" si="21"/>
        <v>8508.9838499659654</v>
      </c>
      <c r="T139" s="137">
        <f t="shared" si="22"/>
        <v>113.60459078726255</v>
      </c>
    </row>
    <row r="140" spans="1:20">
      <c r="B140" s="100" t="s">
        <v>75</v>
      </c>
      <c r="C140" s="351">
        <f ca="1">+'Bal Mat Red'!C223</f>
        <v>1.1480398303636745E-2</v>
      </c>
      <c r="D140" s="334">
        <f t="shared" si="19"/>
        <v>138773.38132318709</v>
      </c>
      <c r="E140" s="137">
        <f t="shared" ca="1" si="20"/>
        <v>1593.1736915326521</v>
      </c>
      <c r="L140" s="100" t="s">
        <v>75</v>
      </c>
      <c r="M140" s="362">
        <v>63.5</v>
      </c>
      <c r="N140" s="362">
        <v>298</v>
      </c>
      <c r="O140" s="334">
        <v>0</v>
      </c>
      <c r="P140" s="325">
        <v>7.5</v>
      </c>
      <c r="Q140" s="21">
        <v>0</v>
      </c>
      <c r="R140" s="351">
        <v>0</v>
      </c>
      <c r="S140" s="325">
        <f t="shared" si="21"/>
        <v>8812.109714022381</v>
      </c>
      <c r="T140" s="137">
        <f t="shared" si="22"/>
        <v>138.7733813231871</v>
      </c>
    </row>
    <row r="141" spans="1:20">
      <c r="B141" s="260" t="s">
        <v>103</v>
      </c>
      <c r="C141" s="352">
        <f ca="1">+'Bal Mat Red'!C224</f>
        <v>2.3777906158910596</v>
      </c>
      <c r="D141" s="349">
        <f t="shared" si="19"/>
        <v>309743.67426610796</v>
      </c>
      <c r="E141" s="138">
        <f t="shared" ca="1" si="20"/>
        <v>736505.60200156854</v>
      </c>
      <c r="I141" s="7" t="s">
        <v>360</v>
      </c>
      <c r="L141" s="260" t="s">
        <v>103</v>
      </c>
      <c r="M141" s="363">
        <f>+M125</f>
        <v>74</v>
      </c>
      <c r="N141" s="363">
        <v>298</v>
      </c>
      <c r="O141" s="349">
        <v>0</v>
      </c>
      <c r="P141" s="363">
        <f>+P125</f>
        <v>20.082666666666668</v>
      </c>
      <c r="Q141" s="363">
        <f>+Q125</f>
        <v>1.6286666666666667</v>
      </c>
      <c r="R141" s="373">
        <f>+R125</f>
        <v>-8.8520000000000003</v>
      </c>
      <c r="S141" s="270">
        <f t="shared" si="21"/>
        <v>22921.031895691991</v>
      </c>
      <c r="T141" s="138">
        <f t="shared" si="22"/>
        <v>309.74367426610797</v>
      </c>
    </row>
    <row r="142" spans="1:20">
      <c r="C142" s="210">
        <f ca="1">SUM(C133:C141)</f>
        <v>5.6338924548331404</v>
      </c>
      <c r="E142" s="267">
        <f ca="1">SUM(E133:E141)</f>
        <v>991761.10628571874</v>
      </c>
      <c r="I142" s="347">
        <f ca="1">+E142/1000</f>
        <v>991.76110628571871</v>
      </c>
    </row>
    <row r="143" spans="1:20">
      <c r="C143" s="210"/>
      <c r="E143" s="267"/>
      <c r="I143" s="354"/>
    </row>
    <row r="144" spans="1:20">
      <c r="A144" s="7">
        <v>6</v>
      </c>
      <c r="B144" s="190" t="s">
        <v>384</v>
      </c>
      <c r="C144" s="210"/>
      <c r="E144" s="267"/>
      <c r="I144" s="354"/>
    </row>
    <row r="145" spans="1:17">
      <c r="C145" s="210"/>
      <c r="E145" s="267"/>
      <c r="I145" s="354"/>
    </row>
    <row r="146" spans="1:17">
      <c r="B146" t="s">
        <v>350</v>
      </c>
    </row>
    <row r="147" spans="1:17">
      <c r="E147" s="7" t="s">
        <v>349</v>
      </c>
      <c r="F147" s="7" t="s">
        <v>314</v>
      </c>
      <c r="G147" s="7" t="s">
        <v>315</v>
      </c>
      <c r="L147" s="378"/>
      <c r="M147" s="379"/>
      <c r="N147" s="380"/>
      <c r="O147" s="269" t="s">
        <v>380</v>
      </c>
      <c r="P147" s="269" t="s">
        <v>381</v>
      </c>
      <c r="Q147" s="241" t="s">
        <v>382</v>
      </c>
    </row>
    <row r="148" spans="1:17">
      <c r="B148" s="152" t="s">
        <v>335</v>
      </c>
      <c r="C148" s="179"/>
      <c r="D148" s="202"/>
      <c r="E148" s="350">
        <f>+'Bal Mat Red'!B58</f>
        <v>0</v>
      </c>
      <c r="F148" s="348">
        <f t="shared" ref="F148:F156" si="23">+Q148*1000</f>
        <v>291771.73191771732</v>
      </c>
      <c r="G148" s="171">
        <f t="shared" ref="G148:G156" si="24">+E148*F148</f>
        <v>0</v>
      </c>
      <c r="L148" s="152" t="s">
        <v>335</v>
      </c>
      <c r="M148" s="179"/>
      <c r="N148" s="202"/>
      <c r="O148" s="195">
        <f>+'Bal Energ Fus'!O152</f>
        <v>43.97</v>
      </c>
      <c r="P148" s="179">
        <f>118.7+16*2</f>
        <v>150.69999999999999</v>
      </c>
      <c r="Q148" s="171">
        <f>+O148/P148*1000</f>
        <v>291.77173191771732</v>
      </c>
    </row>
    <row r="149" spans="1:17">
      <c r="B149" s="135" t="s">
        <v>336</v>
      </c>
      <c r="C149" s="3"/>
      <c r="D149" s="184"/>
      <c r="E149" s="351">
        <f>+'Bal Mat Red'!B61</f>
        <v>0</v>
      </c>
      <c r="F149" s="334">
        <f t="shared" si="23"/>
        <v>282428.03504380473</v>
      </c>
      <c r="G149" s="137">
        <f t="shared" si="24"/>
        <v>0</v>
      </c>
      <c r="L149" s="135" t="s">
        <v>336</v>
      </c>
      <c r="M149" s="3"/>
      <c r="N149" s="184"/>
      <c r="O149" s="141">
        <f>+'Bal Energ Fus'!O153</f>
        <v>33.848999999999997</v>
      </c>
      <c r="P149" s="3">
        <f>55.85+32*2</f>
        <v>119.85</v>
      </c>
      <c r="Q149" s="137">
        <f>+O149/P149*1000</f>
        <v>282.42803504380475</v>
      </c>
    </row>
    <row r="150" spans="1:17">
      <c r="B150" s="135" t="s">
        <v>337</v>
      </c>
      <c r="C150" s="3"/>
      <c r="D150" s="184"/>
      <c r="E150" s="351">
        <f>+'Bal Mat Red'!B64</f>
        <v>0</v>
      </c>
      <c r="F150" s="334">
        <f t="shared" si="23"/>
        <v>102301.79028132992</v>
      </c>
      <c r="G150" s="137">
        <f t="shared" si="24"/>
        <v>0</v>
      </c>
      <c r="L150" s="135" t="s">
        <v>337</v>
      </c>
      <c r="M150" s="3"/>
      <c r="N150" s="184"/>
      <c r="O150" s="141">
        <f>+'Bal Energ Fus'!O154</f>
        <v>30</v>
      </c>
      <c r="P150" s="3">
        <f>55.85+118.7*2</f>
        <v>293.25</v>
      </c>
      <c r="Q150" s="137">
        <f>+O150/P150*1000</f>
        <v>102.30179028132991</v>
      </c>
    </row>
    <row r="151" spans="1:17">
      <c r="B151" s="135" t="s">
        <v>338</v>
      </c>
      <c r="C151" s="3"/>
      <c r="D151" s="184"/>
      <c r="E151" s="351">
        <f ca="1">+'Bal Mat Red'!B67</f>
        <v>1.4336407285893592E-2</v>
      </c>
      <c r="F151" s="334">
        <f t="shared" si="23"/>
        <v>58746.642793196057</v>
      </c>
      <c r="G151" s="137">
        <f t="shared" ca="1" si="24"/>
        <v>842.21579776216424</v>
      </c>
      <c r="L151" s="135" t="s">
        <v>338</v>
      </c>
      <c r="M151" s="3"/>
      <c r="N151" s="184"/>
      <c r="O151" s="141">
        <f>+'Bal Energ Fus'!O155</f>
        <v>3.2810000000000001</v>
      </c>
      <c r="P151" s="3">
        <v>55.85</v>
      </c>
      <c r="Q151" s="137">
        <f t="shared" ref="Q151:Q156" si="25">+O151/P151*1000</f>
        <v>58.74664279319606</v>
      </c>
    </row>
    <row r="152" spans="1:17">
      <c r="B152" s="135" t="s">
        <v>339</v>
      </c>
      <c r="C152" s="3"/>
      <c r="D152" s="184"/>
      <c r="E152" s="351">
        <f ca="1">+'Bal Mat Red'!B70</f>
        <v>16.779058489882143</v>
      </c>
      <c r="F152" s="334">
        <f t="shared" si="23"/>
        <v>310920.56421677809</v>
      </c>
      <c r="G152" s="137">
        <f t="shared" ca="1" si="24"/>
        <v>5216954.3327004761</v>
      </c>
      <c r="L152" s="135" t="s">
        <v>339</v>
      </c>
      <c r="M152" s="3"/>
      <c r="N152" s="184"/>
      <c r="O152" s="141">
        <f>+'Bal Energ Fus'!O156</f>
        <v>41.881</v>
      </c>
      <c r="P152" s="3">
        <f>118.7+16</f>
        <v>134.69999999999999</v>
      </c>
      <c r="Q152" s="137">
        <f t="shared" si="25"/>
        <v>310.92056421677808</v>
      </c>
    </row>
    <row r="153" spans="1:17">
      <c r="B153" s="135" t="s">
        <v>340</v>
      </c>
      <c r="C153" s="3"/>
      <c r="D153" s="184"/>
      <c r="E153" s="351">
        <f>+'Bal Mat Red'!B79</f>
        <v>8.1605284948952403E-2</v>
      </c>
      <c r="F153" s="334">
        <f t="shared" si="23"/>
        <v>253850.97056981843</v>
      </c>
      <c r="G153" s="137">
        <f t="shared" si="24"/>
        <v>20715.580787918163</v>
      </c>
      <c r="L153" s="135" t="s">
        <v>340</v>
      </c>
      <c r="M153" s="3"/>
      <c r="N153" s="184"/>
      <c r="O153" s="141">
        <f>+'Bal Energ Fus'!O157</f>
        <v>40.54</v>
      </c>
      <c r="P153" s="3">
        <f>55.85*2+16*3</f>
        <v>159.69999999999999</v>
      </c>
      <c r="Q153" s="137">
        <f t="shared" si="25"/>
        <v>253.85097056981843</v>
      </c>
    </row>
    <row r="154" spans="1:17">
      <c r="B154" s="135" t="s">
        <v>341</v>
      </c>
      <c r="C154" s="3"/>
      <c r="D154" s="184"/>
      <c r="E154" s="351">
        <f ca="1">+'Bal Mat Red'!B82</f>
        <v>0.62182667475940445</v>
      </c>
      <c r="F154" s="334">
        <f t="shared" si="23"/>
        <v>537230.34098816989</v>
      </c>
      <c r="G154" s="137">
        <f t="shared" ca="1" si="24"/>
        <v>334064.15651653468</v>
      </c>
      <c r="L154" s="135" t="s">
        <v>341</v>
      </c>
      <c r="M154" s="3"/>
      <c r="N154" s="184"/>
      <c r="O154" s="141">
        <f>+'Bal Energ Fus'!O158</f>
        <v>38.6</v>
      </c>
      <c r="P154" s="3">
        <f>55.85+16</f>
        <v>71.849999999999994</v>
      </c>
      <c r="Q154" s="137">
        <f t="shared" si="25"/>
        <v>537.23034098816993</v>
      </c>
    </row>
    <row r="155" spans="1:17">
      <c r="B155" s="135" t="s">
        <v>342</v>
      </c>
      <c r="C155" s="3"/>
      <c r="D155" s="184"/>
      <c r="E155" s="351">
        <f>+'Bal Mat Red'!B88</f>
        <v>0</v>
      </c>
      <c r="F155" s="334">
        <f t="shared" si="23"/>
        <v>426210.00000000006</v>
      </c>
      <c r="G155" s="137">
        <f t="shared" si="24"/>
        <v>0</v>
      </c>
      <c r="L155" s="135" t="s">
        <v>342</v>
      </c>
      <c r="M155" s="3"/>
      <c r="N155" s="184"/>
      <c r="O155" s="141">
        <f>+'Bal Energ Fus'!O159</f>
        <v>42.621000000000002</v>
      </c>
      <c r="P155" s="3">
        <v>100</v>
      </c>
      <c r="Q155" s="137">
        <f t="shared" si="25"/>
        <v>426.21000000000004</v>
      </c>
    </row>
    <row r="156" spans="1:17">
      <c r="B156" s="136" t="s">
        <v>343</v>
      </c>
      <c r="C156" s="182"/>
      <c r="D156" s="185"/>
      <c r="E156" s="352">
        <f>+'Bal Mat Red'!B91</f>
        <v>0</v>
      </c>
      <c r="F156" s="349">
        <f t="shared" si="23"/>
        <v>286500.59311981022</v>
      </c>
      <c r="G156" s="138">
        <f t="shared" si="24"/>
        <v>0</v>
      </c>
      <c r="I156" s="7" t="s">
        <v>360</v>
      </c>
      <c r="L156" s="136" t="s">
        <v>343</v>
      </c>
      <c r="M156" s="182"/>
      <c r="N156" s="185"/>
      <c r="O156" s="145">
        <f>+'Bal Energ Fus'!O160</f>
        <v>24.152000000000001</v>
      </c>
      <c r="P156" s="182">
        <f>24.3+12+16*3</f>
        <v>84.3</v>
      </c>
      <c r="Q156" s="138">
        <f t="shared" si="25"/>
        <v>286.50059311981022</v>
      </c>
    </row>
    <row r="157" spans="1:17">
      <c r="C157" s="210"/>
      <c r="E157" s="267"/>
      <c r="G157" s="267">
        <f ca="1">SUM(G148:G156)</f>
        <v>5572576.2858026912</v>
      </c>
      <c r="I157" s="347">
        <f ca="1">+G157/1000</f>
        <v>5572.576285802691</v>
      </c>
    </row>
    <row r="158" spans="1:17">
      <c r="C158" s="210"/>
      <c r="E158" s="267"/>
      <c r="G158" s="267"/>
      <c r="I158" s="354"/>
    </row>
    <row r="159" spans="1:17">
      <c r="A159" s="7">
        <v>7</v>
      </c>
      <c r="B159" s="190" t="s">
        <v>322</v>
      </c>
    </row>
    <row r="160" spans="1:17">
      <c r="A160" s="7"/>
    </row>
    <row r="161" spans="1:18">
      <c r="A161" s="7"/>
      <c r="E161" s="7" t="s">
        <v>151</v>
      </c>
      <c r="F161" s="7" t="s">
        <v>314</v>
      </c>
      <c r="G161" s="7" t="s">
        <v>315</v>
      </c>
      <c r="O161" s="153" t="s">
        <v>380</v>
      </c>
      <c r="P161" s="162" t="s">
        <v>381</v>
      </c>
      <c r="Q161" s="154" t="s">
        <v>382</v>
      </c>
    </row>
    <row r="162" spans="1:18">
      <c r="B162" s="152" t="s">
        <v>401</v>
      </c>
      <c r="C162" s="179"/>
      <c r="D162" s="202"/>
      <c r="E162" s="345">
        <f>+'Bal Mat Red'!H37</f>
        <v>9.1773824728916362E-2</v>
      </c>
      <c r="F162" s="348">
        <f>+Q162*1000</f>
        <v>540555.5555555555</v>
      </c>
      <c r="G162" s="171">
        <f>+E162*F162</f>
        <v>49608.850811797565</v>
      </c>
      <c r="L162" t="s">
        <v>387</v>
      </c>
      <c r="O162" s="193">
        <f>+'Bal Energ Fus'!O166</f>
        <v>9.73</v>
      </c>
      <c r="P162" s="179">
        <v>18</v>
      </c>
      <c r="Q162" s="171">
        <f>+O162/P162*1000</f>
        <v>540.55555555555554</v>
      </c>
    </row>
    <row r="163" spans="1:18">
      <c r="B163" s="136" t="s">
        <v>388</v>
      </c>
      <c r="C163" s="182"/>
      <c r="D163" s="185"/>
      <c r="E163" s="346">
        <f ca="1">+'Bal Mat Red'!H12+'Bal Mat Red'!F64</f>
        <v>1.1013744451156657</v>
      </c>
      <c r="F163" s="349">
        <f>+Q163*1000</f>
        <v>14490.311710193766</v>
      </c>
      <c r="G163" s="138">
        <f ca="1">+E163*F163</f>
        <v>15959.259019367692</v>
      </c>
      <c r="L163" t="s">
        <v>388</v>
      </c>
      <c r="O163" s="139">
        <f>+'Bal Energ Fus'!O167</f>
        <v>1.72</v>
      </c>
      <c r="P163" s="3">
        <v>118.7</v>
      </c>
      <c r="Q163" s="137">
        <f>+O163/P163*1000</f>
        <v>14.490311710193765</v>
      </c>
    </row>
    <row r="164" spans="1:18">
      <c r="B164" s="385" t="s">
        <v>389</v>
      </c>
      <c r="C164" s="3"/>
      <c r="D164" s="184"/>
      <c r="E164" s="21">
        <f ca="1">+'Bal Mat Red'!F73</f>
        <v>3.0418236370540956</v>
      </c>
      <c r="F164" s="334">
        <f>+Q164*1000</f>
        <v>502598.36674090574</v>
      </c>
      <c r="G164" s="137">
        <f ca="1">+E164*F164</f>
        <v>1528815.5918972702</v>
      </c>
      <c r="L164" t="s">
        <v>389</v>
      </c>
      <c r="O164" s="139">
        <f>+'Bal Energ Fus'!O168</f>
        <v>67.7</v>
      </c>
      <c r="P164" s="3">
        <f>118.7+16</f>
        <v>134.69999999999999</v>
      </c>
      <c r="Q164" s="137">
        <f>+O164/P164*1000</f>
        <v>502.59836674090576</v>
      </c>
      <c r="R164">
        <v>73.34</v>
      </c>
    </row>
    <row r="165" spans="1:18">
      <c r="B165" s="386" t="s">
        <v>390</v>
      </c>
      <c r="C165" s="182"/>
      <c r="D165" s="185"/>
      <c r="E165" s="346">
        <f>+'Bal Mat Red'!C218</f>
        <v>8.211749760822068E-2</v>
      </c>
      <c r="F165" s="349">
        <f>+Q165*1000</f>
        <v>349701.39349701395</v>
      </c>
      <c r="G165" s="138">
        <f>+E165*F165</f>
        <v>28716.603344082483</v>
      </c>
      <c r="I165" s="7" t="s">
        <v>360</v>
      </c>
      <c r="L165" t="s">
        <v>390</v>
      </c>
      <c r="O165" s="144">
        <f>+'Bal Energ Fus'!O169</f>
        <v>52.7</v>
      </c>
      <c r="P165" s="182">
        <f>118.7+32</f>
        <v>150.69999999999999</v>
      </c>
      <c r="Q165" s="138">
        <f>+O165/P165*1000</f>
        <v>349.70139349701395</v>
      </c>
      <c r="R165">
        <v>52.7</v>
      </c>
    </row>
    <row r="166" spans="1:18">
      <c r="G166" s="267">
        <f ca="1">SUM(G162:G165)</f>
        <v>1623100.3050725181</v>
      </c>
      <c r="I166" s="347">
        <f ca="1">+G166/1000</f>
        <v>1623.100305072518</v>
      </c>
    </row>
    <row r="167" spans="1:18">
      <c r="C167" s="210"/>
      <c r="E167" s="267"/>
      <c r="G167" s="267"/>
      <c r="I167" s="354"/>
    </row>
    <row r="168" spans="1:18">
      <c r="A168" s="7">
        <v>8</v>
      </c>
      <c r="B168" s="190" t="s">
        <v>330</v>
      </c>
    </row>
    <row r="170" spans="1:18">
      <c r="B170" t="s">
        <v>354</v>
      </c>
      <c r="D170" s="359">
        <f>+'Bal Energ Fus'!D174</f>
        <v>358.13752128000004</v>
      </c>
      <c r="E170" t="s">
        <v>268</v>
      </c>
    </row>
    <row r="171" spans="1:18">
      <c r="B171" t="s">
        <v>356</v>
      </c>
      <c r="D171" s="359">
        <f>+Factores!E41</f>
        <v>27</v>
      </c>
      <c r="E171" t="s">
        <v>334</v>
      </c>
    </row>
    <row r="172" spans="1:18">
      <c r="B172" t="s">
        <v>355</v>
      </c>
      <c r="D172" s="359">
        <f>+Factores!E42</f>
        <v>27.5</v>
      </c>
      <c r="E172" t="s">
        <v>334</v>
      </c>
    </row>
    <row r="173" spans="1:18">
      <c r="I173" s="7" t="s">
        <v>360</v>
      </c>
    </row>
    <row r="174" spans="1:18">
      <c r="B174" t="s">
        <v>357</v>
      </c>
      <c r="D174" s="323">
        <f>+D170*1000*(D172-D171)*1/1000</f>
        <v>179.06876064000002</v>
      </c>
      <c r="E174" t="s">
        <v>624</v>
      </c>
      <c r="I174" s="347">
        <f>+D174*'Bal Mat Red'!L11</f>
        <v>259.64970292800001</v>
      </c>
    </row>
    <row r="176" spans="1:18">
      <c r="A176" s="7">
        <v>9</v>
      </c>
      <c r="B176" s="190" t="s">
        <v>331</v>
      </c>
    </row>
    <row r="177" spans="1:9">
      <c r="I177" s="7" t="s">
        <v>360</v>
      </c>
    </row>
    <row r="178" spans="1:9">
      <c r="B178" t="s">
        <v>358</v>
      </c>
      <c r="D178" s="657">
        <f>+Perdidas!E35</f>
        <v>411.89270871975322</v>
      </c>
      <c r="E178" t="s">
        <v>624</v>
      </c>
      <c r="I178" s="347">
        <f>+D178*'Bal Mat Red'!L11</f>
        <v>597.2444276436421</v>
      </c>
    </row>
    <row r="180" spans="1:9">
      <c r="I180" s="7" t="s">
        <v>360</v>
      </c>
    </row>
    <row r="181" spans="1:9">
      <c r="B181" s="392" t="s">
        <v>359</v>
      </c>
      <c r="C181" s="393"/>
      <c r="D181" s="393"/>
      <c r="E181" s="393"/>
      <c r="F181" s="393"/>
      <c r="G181" s="393"/>
      <c r="H181" s="394"/>
      <c r="I181" s="355">
        <f ca="1">+I82+I97+I112+I126+I142+I174+I178+I157+I166</f>
        <v>37059.631451114394</v>
      </c>
    </row>
    <row r="184" spans="1:9" ht="16.8">
      <c r="A184" s="357" t="s">
        <v>362</v>
      </c>
    </row>
    <row r="186" spans="1:9" ht="15.6">
      <c r="A186" s="158" t="s">
        <v>323</v>
      </c>
    </row>
    <row r="188" spans="1:9">
      <c r="A188" s="7">
        <v>1</v>
      </c>
      <c r="B188" s="190" t="s">
        <v>327</v>
      </c>
    </row>
    <row r="189" spans="1:9">
      <c r="F189" s="264" t="s">
        <v>332</v>
      </c>
      <c r="I189" s="7" t="s">
        <v>360</v>
      </c>
    </row>
    <row r="190" spans="1:9">
      <c r="B190" t="s">
        <v>364</v>
      </c>
      <c r="D190" s="267">
        <f ca="1">+E112</f>
        <v>7847157.6552577196</v>
      </c>
      <c r="E190" t="s">
        <v>315</v>
      </c>
      <c r="F190" s="400">
        <f>+D101</f>
        <v>1199.9479618696507</v>
      </c>
      <c r="I190" s="347">
        <f ca="1">+D190/1000</f>
        <v>7847.1576552577199</v>
      </c>
    </row>
    <row r="191" spans="1:9">
      <c r="F191" s="266"/>
    </row>
    <row r="192" spans="1:9">
      <c r="A192" s="7">
        <v>2</v>
      </c>
      <c r="B192" s="190" t="s">
        <v>329</v>
      </c>
      <c r="F192" s="266"/>
    </row>
    <row r="193" spans="1:20">
      <c r="F193" s="264" t="s">
        <v>332</v>
      </c>
      <c r="I193" s="7" t="s">
        <v>360</v>
      </c>
    </row>
    <row r="194" spans="1:20">
      <c r="B194" t="s">
        <v>364</v>
      </c>
      <c r="D194" s="267">
        <f ca="1">+E142</f>
        <v>991761.10628571874</v>
      </c>
      <c r="E194" t="s">
        <v>315</v>
      </c>
      <c r="F194" s="400">
        <f>+D130</f>
        <v>1199.9479618696507</v>
      </c>
      <c r="I194" s="347">
        <f ca="1">+D194/1000</f>
        <v>991.76110628571871</v>
      </c>
    </row>
    <row r="196" spans="1:20">
      <c r="A196" s="7">
        <v>3</v>
      </c>
      <c r="B196" s="190" t="s">
        <v>363</v>
      </c>
    </row>
    <row r="198" spans="1:20">
      <c r="B198" s="266" t="s">
        <v>333</v>
      </c>
      <c r="D198" s="359">
        <f>+D29</f>
        <v>31</v>
      </c>
      <c r="E198" t="s">
        <v>334</v>
      </c>
      <c r="S198" s="360">
        <f>+D198+273</f>
        <v>304</v>
      </c>
      <c r="T198" t="s">
        <v>365</v>
      </c>
    </row>
    <row r="199" spans="1:20">
      <c r="L199" s="183"/>
      <c r="M199" s="364"/>
      <c r="N199" s="365" t="s">
        <v>366</v>
      </c>
      <c r="O199" s="366" t="s">
        <v>367</v>
      </c>
      <c r="P199" s="1438" t="s">
        <v>368</v>
      </c>
      <c r="Q199" s="1438"/>
      <c r="R199" s="1439"/>
      <c r="S199" s="366" t="s">
        <v>369</v>
      </c>
      <c r="T199" s="183"/>
    </row>
    <row r="200" spans="1:20">
      <c r="C200" s="7" t="s">
        <v>151</v>
      </c>
      <c r="D200" s="7" t="s">
        <v>314</v>
      </c>
      <c r="E200" s="7" t="s">
        <v>315</v>
      </c>
      <c r="L200" s="260"/>
      <c r="M200" s="367" t="s">
        <v>370</v>
      </c>
      <c r="N200" s="368" t="s">
        <v>371</v>
      </c>
      <c r="O200" s="368" t="s">
        <v>372</v>
      </c>
      <c r="P200" s="369" t="s">
        <v>373</v>
      </c>
      <c r="Q200" s="367" t="s">
        <v>374</v>
      </c>
      <c r="R200" s="370" t="s">
        <v>375</v>
      </c>
      <c r="S200" s="371" t="s">
        <v>376</v>
      </c>
      <c r="T200" s="372" t="s">
        <v>220</v>
      </c>
    </row>
    <row r="201" spans="1:20">
      <c r="B201" s="183" t="s">
        <v>245</v>
      </c>
      <c r="C201" s="374">
        <f>+'Bal Mat Red'!I243*'Bal Mat Red'!F241/'Bal Mat Red'!F243*'Bal Mat Red'!M101</f>
        <v>2.9579999999999997</v>
      </c>
      <c r="D201" s="348">
        <f>+T201*1000</f>
        <v>1316.1487327799362</v>
      </c>
      <c r="E201" s="171">
        <f>+C201*D201</f>
        <v>3893.1679515630508</v>
      </c>
      <c r="L201" s="183" t="s">
        <v>245</v>
      </c>
      <c r="M201" s="361">
        <v>32</v>
      </c>
      <c r="N201" s="361">
        <v>298</v>
      </c>
      <c r="O201" s="348">
        <v>0</v>
      </c>
      <c r="P201" s="324">
        <v>7.16</v>
      </c>
      <c r="Q201" s="345">
        <v>1</v>
      </c>
      <c r="R201" s="350">
        <v>-0.4</v>
      </c>
      <c r="S201" s="324">
        <f>+(P201*($S$198-N201)+Q201*10^(-3)*($S$198^2-N201^2)/2-R201*10^5*($S$198^(-1)-N201^(-1)))+O201</f>
        <v>42.116759448957957</v>
      </c>
      <c r="T201" s="171">
        <f>+S201/M201</f>
        <v>1.3161487327799362</v>
      </c>
    </row>
    <row r="202" spans="1:20">
      <c r="B202" s="100" t="s">
        <v>219</v>
      </c>
      <c r="C202" s="375">
        <f>+'Bal Mat Red'!I244*'Bal Mat Red'!F241/'Bal Mat Red'!F243*'Bal Mat Red'!M101</f>
        <v>9.7367500000000007</v>
      </c>
      <c r="D202" s="334">
        <f>+T202*1000</f>
        <v>1492.9328571428573</v>
      </c>
      <c r="E202" s="137">
        <f>+C202*D202</f>
        <v>14536.313996785717</v>
      </c>
      <c r="L202" s="100" t="s">
        <v>219</v>
      </c>
      <c r="M202" s="362">
        <v>28</v>
      </c>
      <c r="N202" s="362">
        <v>298</v>
      </c>
      <c r="O202" s="334">
        <v>0</v>
      </c>
      <c r="P202" s="325">
        <v>6.66</v>
      </c>
      <c r="Q202" s="21">
        <v>1.02</v>
      </c>
      <c r="R202" s="351">
        <v>0</v>
      </c>
      <c r="S202" s="325">
        <f>+(P202*($S$198-N202)+Q202*10^(-3)*($S$198^2-N202^2)/2-R202*10^5*($S$198^(-1)-N202^(-1)))+O202</f>
        <v>41.802120000000002</v>
      </c>
      <c r="T202" s="137">
        <f>+S202/M202</f>
        <v>1.4929328571428573</v>
      </c>
    </row>
    <row r="203" spans="1:20">
      <c r="B203" s="260" t="s">
        <v>150</v>
      </c>
      <c r="C203" s="373">
        <f>+'Bal Mat Red'!I245*'Bal Mat Red'!F241/'Bal Mat Red'!F243*'Bal Mat Red'!M101</f>
        <v>0</v>
      </c>
      <c r="D203" s="349">
        <f>+T203*1000</f>
        <v>61227.88203753352</v>
      </c>
      <c r="E203" s="138">
        <f>+C203*D203</f>
        <v>0</v>
      </c>
      <c r="I203" s="7" t="s">
        <v>360</v>
      </c>
      <c r="L203" s="260" t="s">
        <v>150</v>
      </c>
      <c r="M203" s="363">
        <v>18</v>
      </c>
      <c r="N203" s="363">
        <v>373</v>
      </c>
      <c r="O203" s="349">
        <v>1352.25</v>
      </c>
      <c r="P203" s="270"/>
      <c r="Q203" s="346"/>
      <c r="R203" s="352"/>
      <c r="S203" s="270">
        <f>+O203*S198/N203</f>
        <v>1102.1018766756033</v>
      </c>
      <c r="T203" s="138">
        <f>+S203/M203</f>
        <v>61.227882037533519</v>
      </c>
    </row>
    <row r="204" spans="1:20">
      <c r="C204" s="267">
        <f>+SUM(C201:C203)</f>
        <v>12.694750000000001</v>
      </c>
      <c r="D204" s="334"/>
      <c r="E204" s="334">
        <f>+SUM(E201:E203)</f>
        <v>18429.481948348766</v>
      </c>
      <c r="I204" s="347">
        <f>+E204/1000</f>
        <v>18.429481948348766</v>
      </c>
    </row>
    <row r="206" spans="1:20">
      <c r="A206" s="7">
        <v>4</v>
      </c>
      <c r="B206" s="190" t="s">
        <v>321</v>
      </c>
    </row>
    <row r="207" spans="1:20">
      <c r="A207" s="7"/>
      <c r="B207" s="190"/>
    </row>
    <row r="208" spans="1:20">
      <c r="A208" s="7"/>
      <c r="B208" t="s">
        <v>350</v>
      </c>
    </row>
    <row r="209" spans="1:17">
      <c r="A209" s="7"/>
      <c r="E209" s="7" t="s">
        <v>349</v>
      </c>
      <c r="F209" s="7" t="s">
        <v>314</v>
      </c>
      <c r="G209" s="7" t="s">
        <v>315</v>
      </c>
      <c r="L209" s="378"/>
      <c r="M209" s="379"/>
      <c r="N209" s="380"/>
      <c r="O209" s="269" t="s">
        <v>380</v>
      </c>
      <c r="P209" s="269" t="s">
        <v>381</v>
      </c>
      <c r="Q209" s="241" t="s">
        <v>382</v>
      </c>
    </row>
    <row r="210" spans="1:17">
      <c r="A210" s="7"/>
      <c r="B210" s="152" t="s">
        <v>346</v>
      </c>
      <c r="C210" s="179"/>
      <c r="D210" s="202"/>
      <c r="E210" s="350">
        <f ca="1">+'Bal Mat Red'!T113</f>
        <v>3.0418236370540956</v>
      </c>
      <c r="F210" s="348">
        <f>+-Q210*1000</f>
        <v>522568.67112100974</v>
      </c>
      <c r="G210" s="171">
        <f ca="1">+E210*F210</f>
        <v>1589561.7357998353</v>
      </c>
      <c r="H210" t="s">
        <v>391</v>
      </c>
      <c r="L210" s="135" t="s">
        <v>346</v>
      </c>
      <c r="M210" s="3"/>
      <c r="N210" s="184"/>
      <c r="O210" s="397">
        <f>+'Bal Energ Fus'!O214</f>
        <v>-70.39</v>
      </c>
      <c r="P210" s="179">
        <f>118.7+16</f>
        <v>134.69999999999999</v>
      </c>
      <c r="Q210" s="171">
        <f>+O210/P210*1000</f>
        <v>-522.56867112100974</v>
      </c>
    </row>
    <row r="211" spans="1:17">
      <c r="A211" s="7"/>
      <c r="B211" s="135" t="s">
        <v>347</v>
      </c>
      <c r="C211" s="3"/>
      <c r="D211" s="184"/>
      <c r="E211" s="351">
        <f>+'Bal Mat Red'!T116</f>
        <v>8.211749760822068E-2</v>
      </c>
      <c r="F211" s="334">
        <f>+-Q211*1000</f>
        <v>1219847.3788984739</v>
      </c>
      <c r="G211" s="137">
        <f>+E211*F211</f>
        <v>100170.81421908969</v>
      </c>
      <c r="H211" t="s">
        <v>391</v>
      </c>
      <c r="L211" s="135" t="s">
        <v>347</v>
      </c>
      <c r="M211" s="3"/>
      <c r="N211" s="184"/>
      <c r="O211" s="398">
        <f>+'Bal Energ Fus'!O215</f>
        <v>-183.83099999999999</v>
      </c>
      <c r="P211" s="3">
        <f>118.7+32</f>
        <v>150.69999999999999</v>
      </c>
      <c r="Q211" s="137">
        <f>+O211/P211*1000</f>
        <v>-1219.8473788984738</v>
      </c>
    </row>
    <row r="212" spans="1:17">
      <c r="A212" s="7"/>
      <c r="B212" s="135" t="s">
        <v>352</v>
      </c>
      <c r="C212" s="3"/>
      <c r="D212" s="184"/>
      <c r="E212" s="351">
        <f ca="1">+'Bal Mat Red'!V119</f>
        <v>3.7444858849584879</v>
      </c>
      <c r="F212" s="334">
        <f>+-Q212*1000</f>
        <v>2415357.1428571427</v>
      </c>
      <c r="G212" s="137">
        <f ca="1">+E212*F212</f>
        <v>9044270.7285622321</v>
      </c>
      <c r="L212" s="135" t="s">
        <v>352</v>
      </c>
      <c r="M212" s="3"/>
      <c r="N212" s="184"/>
      <c r="O212" s="398">
        <f>+'Bal Energ Fus'!O216</f>
        <v>-67.63</v>
      </c>
      <c r="P212" s="3">
        <f>12+16</f>
        <v>28</v>
      </c>
      <c r="Q212" s="137">
        <f>+O212/P212*1000</f>
        <v>-2415.3571428571427</v>
      </c>
    </row>
    <row r="213" spans="1:17">
      <c r="A213" s="7"/>
      <c r="B213" s="135" t="s">
        <v>348</v>
      </c>
      <c r="C213" s="3"/>
      <c r="D213" s="184"/>
      <c r="E213" s="351">
        <f>+'Bal Mat Red'!T122</f>
        <v>0</v>
      </c>
      <c r="F213" s="334">
        <f>+-Q213*1000</f>
        <v>2697125</v>
      </c>
      <c r="G213" s="137">
        <f>+E213*F213</f>
        <v>0</v>
      </c>
      <c r="L213" s="135" t="s">
        <v>348</v>
      </c>
      <c r="M213" s="3"/>
      <c r="N213" s="184"/>
      <c r="O213" s="398">
        <f>+'Bal Energ Fus'!O217</f>
        <v>-86.308000000000007</v>
      </c>
      <c r="P213" s="3">
        <v>32</v>
      </c>
      <c r="Q213" s="137">
        <f>+O213/P213*1000</f>
        <v>-2697.125</v>
      </c>
    </row>
    <row r="214" spans="1:17">
      <c r="A214" s="7"/>
      <c r="B214" s="136" t="s">
        <v>396</v>
      </c>
      <c r="C214" s="182"/>
      <c r="D214" s="185"/>
      <c r="E214" s="352">
        <f>+'Bal Mat Red'!T125</f>
        <v>7.6722917473374078E-2</v>
      </c>
      <c r="F214" s="349">
        <f>+-Q214*1000</f>
        <v>11375100</v>
      </c>
      <c r="G214" s="138">
        <f>+E214*F214</f>
        <v>872730.85855137743</v>
      </c>
      <c r="I214" s="7" t="s">
        <v>360</v>
      </c>
      <c r="L214" s="136" t="s">
        <v>396</v>
      </c>
      <c r="M214" s="182"/>
      <c r="N214" s="185"/>
      <c r="O214" s="399">
        <f>+'Bal Energ Fus'!O218</f>
        <v>-341.25299999999999</v>
      </c>
      <c r="P214" s="182">
        <f>24+6</f>
        <v>30</v>
      </c>
      <c r="Q214" s="138">
        <f>+O214/P214*1000</f>
        <v>-11375.1</v>
      </c>
    </row>
    <row r="215" spans="1:17">
      <c r="A215" s="7"/>
      <c r="G215" s="267">
        <f ca="1">SUM(G210:G214)</f>
        <v>11606734.137132535</v>
      </c>
      <c r="I215" s="347">
        <f ca="1">+G215/1000</f>
        <v>11606.734137132535</v>
      </c>
      <c r="O215" s="384"/>
    </row>
    <row r="216" spans="1:17">
      <c r="A216" s="7"/>
      <c r="G216" s="267"/>
      <c r="I216" s="354"/>
    </row>
    <row r="217" spans="1:17">
      <c r="A217" s="7"/>
      <c r="I217" s="7" t="s">
        <v>360</v>
      </c>
    </row>
    <row r="218" spans="1:17">
      <c r="A218" s="7"/>
      <c r="B218" s="408" t="s">
        <v>353</v>
      </c>
      <c r="C218" s="409"/>
      <c r="D218" s="409"/>
      <c r="E218" s="409"/>
      <c r="F218" s="409"/>
      <c r="G218" s="409"/>
      <c r="H218" s="410"/>
      <c r="I218" s="411">
        <f ca="1">+I215+I204+I194+I190</f>
        <v>20464.082380624324</v>
      </c>
    </row>
    <row r="219" spans="1:17">
      <c r="A219" s="7"/>
      <c r="G219" s="267"/>
      <c r="I219" s="354"/>
    </row>
    <row r="220" spans="1:17">
      <c r="A220" s="7"/>
    </row>
    <row r="221" spans="1:17" ht="15.6">
      <c r="A221" s="158" t="s">
        <v>324</v>
      </c>
    </row>
    <row r="222" spans="1:17">
      <c r="A222" s="7"/>
    </row>
    <row r="223" spans="1:17">
      <c r="A223" s="7">
        <v>1</v>
      </c>
      <c r="B223" s="190" t="s">
        <v>327</v>
      </c>
    </row>
    <row r="225" spans="1:20">
      <c r="B225" s="266" t="s">
        <v>333</v>
      </c>
      <c r="D225" s="330">
        <f>+macro!I11</f>
        <v>1629.4237297126108</v>
      </c>
      <c r="E225" t="s">
        <v>334</v>
      </c>
      <c r="S225" s="360">
        <f>+D225+273</f>
        <v>1902.4237297126108</v>
      </c>
      <c r="T225" t="s">
        <v>365</v>
      </c>
    </row>
    <row r="226" spans="1:20">
      <c r="A226" s="7"/>
      <c r="B226" s="266"/>
      <c r="D226" s="353"/>
      <c r="L226" s="183"/>
      <c r="M226" s="364"/>
      <c r="N226" s="365" t="s">
        <v>366</v>
      </c>
      <c r="O226" s="366" t="s">
        <v>367</v>
      </c>
      <c r="P226" s="1438" t="s">
        <v>368</v>
      </c>
      <c r="Q226" s="1438"/>
      <c r="R226" s="1439"/>
      <c r="S226" s="366" t="s">
        <v>369</v>
      </c>
      <c r="T226" s="183"/>
    </row>
    <row r="227" spans="1:20">
      <c r="A227" s="7"/>
      <c r="C227" s="7" t="s">
        <v>151</v>
      </c>
      <c r="D227" s="7" t="s">
        <v>314</v>
      </c>
      <c r="E227" s="7" t="s">
        <v>315</v>
      </c>
      <c r="L227" s="260"/>
      <c r="M227" s="367" t="s">
        <v>370</v>
      </c>
      <c r="N227" s="368" t="s">
        <v>371</v>
      </c>
      <c r="O227" s="368" t="s">
        <v>372</v>
      </c>
      <c r="P227" s="369" t="s">
        <v>373</v>
      </c>
      <c r="Q227" s="367" t="s">
        <v>374</v>
      </c>
      <c r="R227" s="370" t="s">
        <v>375</v>
      </c>
      <c r="S227" s="371" t="s">
        <v>376</v>
      </c>
      <c r="T227" s="372" t="s">
        <v>220</v>
      </c>
    </row>
    <row r="228" spans="1:20">
      <c r="A228" s="7"/>
      <c r="B228" s="183" t="s">
        <v>217</v>
      </c>
      <c r="C228" s="350">
        <f ca="1">+'Bal Mat Red'!H231</f>
        <v>9.3334741961346701</v>
      </c>
      <c r="D228" s="348">
        <f t="shared" ref="D228:D233" si="26">+T228*1000</f>
        <v>458231.43710370135</v>
      </c>
      <c r="E228" s="171">
        <f t="shared" ref="E228:E233" ca="1" si="27">+C228*D228</f>
        <v>4276891.2940651039</v>
      </c>
      <c r="L228" s="183" t="s">
        <v>217</v>
      </c>
      <c r="M228" s="374">
        <v>44</v>
      </c>
      <c r="N228" s="361">
        <v>298</v>
      </c>
      <c r="O228" s="348">
        <v>0</v>
      </c>
      <c r="P228" s="324">
        <v>10.55</v>
      </c>
      <c r="Q228" s="345">
        <v>2.16</v>
      </c>
      <c r="R228" s="350">
        <v>-2.04</v>
      </c>
      <c r="S228" s="324">
        <f t="shared" ref="S228:S233" si="28">+(P228*($S$225-N228)+Q228*10^(-3)*($S$225^2-N228^2)/2-R228*10^5*($S$225^(-1)-N228^(-1)))+O228</f>
        <v>20162.18323256286</v>
      </c>
      <c r="T228" s="171">
        <f t="shared" ref="T228:T233" si="29">+S228/M228</f>
        <v>458.23143710370135</v>
      </c>
    </row>
    <row r="229" spans="1:20">
      <c r="A229" s="7"/>
      <c r="B229" s="100" t="s">
        <v>195</v>
      </c>
      <c r="C229" s="351">
        <f ca="1">+'Bal Mat Red'!H232</f>
        <v>0</v>
      </c>
      <c r="D229" s="334">
        <f t="shared" si="26"/>
        <v>449743.15621611226</v>
      </c>
      <c r="E229" s="137">
        <f t="shared" ca="1" si="27"/>
        <v>0</v>
      </c>
      <c r="L229" s="100" t="s">
        <v>195</v>
      </c>
      <c r="M229" s="375">
        <v>28</v>
      </c>
      <c r="N229" s="362">
        <v>298</v>
      </c>
      <c r="O229" s="334">
        <v>0</v>
      </c>
      <c r="P229" s="325">
        <v>6.79</v>
      </c>
      <c r="Q229" s="21">
        <v>0.98</v>
      </c>
      <c r="R229" s="351">
        <v>-0.11</v>
      </c>
      <c r="S229" s="325">
        <f t="shared" si="28"/>
        <v>12592.808374051143</v>
      </c>
      <c r="T229" s="137">
        <f t="shared" si="29"/>
        <v>449.74315621611225</v>
      </c>
    </row>
    <row r="230" spans="1:20">
      <c r="A230" s="7"/>
      <c r="B230" s="100" t="s">
        <v>219</v>
      </c>
      <c r="C230" s="351">
        <f>+'Bal Mat Red'!H233</f>
        <v>21.43167661509986</v>
      </c>
      <c r="D230" s="334">
        <f t="shared" si="26"/>
        <v>445927.57800166233</v>
      </c>
      <c r="E230" s="137">
        <f t="shared" si="27"/>
        <v>9556975.6454863455</v>
      </c>
      <c r="L230" s="100" t="s">
        <v>219</v>
      </c>
      <c r="M230" s="375">
        <v>28</v>
      </c>
      <c r="N230" s="362">
        <v>298</v>
      </c>
      <c r="O230" s="334">
        <v>0</v>
      </c>
      <c r="P230" s="325">
        <v>6.66</v>
      </c>
      <c r="Q230" s="21">
        <v>1.02</v>
      </c>
      <c r="R230" s="351">
        <v>0</v>
      </c>
      <c r="S230" s="325">
        <f t="shared" si="28"/>
        <v>12485.972184046544</v>
      </c>
      <c r="T230" s="137">
        <f t="shared" si="29"/>
        <v>445.92757800166231</v>
      </c>
    </row>
    <row r="231" spans="1:20">
      <c r="B231" s="100" t="s">
        <v>239</v>
      </c>
      <c r="C231" s="351">
        <f>+'Bal Mat Red'!H234</f>
        <v>3.4874053396988215E-2</v>
      </c>
      <c r="D231" s="334">
        <f t="shared" si="26"/>
        <v>323994.89333110087</v>
      </c>
      <c r="E231" s="137">
        <f t="shared" si="27"/>
        <v>11299.015210380312</v>
      </c>
      <c r="L231" s="100" t="s">
        <v>239</v>
      </c>
      <c r="M231" s="375">
        <v>64</v>
      </c>
      <c r="N231" s="362">
        <v>298</v>
      </c>
      <c r="O231" s="334">
        <v>0</v>
      </c>
      <c r="P231" s="325">
        <v>10.38</v>
      </c>
      <c r="Q231" s="21">
        <v>2.54</v>
      </c>
      <c r="R231" s="351">
        <v>-1.42</v>
      </c>
      <c r="S231" s="325">
        <f t="shared" si="28"/>
        <v>20735.673173190455</v>
      </c>
      <c r="T231" s="137">
        <f t="shared" si="29"/>
        <v>323.99489333110085</v>
      </c>
    </row>
    <row r="232" spans="1:20">
      <c r="B232" s="100" t="s">
        <v>150</v>
      </c>
      <c r="C232" s="351">
        <f>+'Bal Mat Red'!H235</f>
        <v>3.5854146751631228</v>
      </c>
      <c r="D232" s="334">
        <f t="shared" si="26"/>
        <v>932776.22899137402</v>
      </c>
      <c r="E232" s="137">
        <f t="shared" si="27"/>
        <v>3344389.5800689901</v>
      </c>
      <c r="L232" s="100" t="s">
        <v>150</v>
      </c>
      <c r="M232" s="375">
        <v>18</v>
      </c>
      <c r="N232" s="362">
        <v>373</v>
      </c>
      <c r="O232" s="334">
        <v>1352.25</v>
      </c>
      <c r="P232" s="325">
        <v>7.17</v>
      </c>
      <c r="Q232" s="21">
        <v>2.56</v>
      </c>
      <c r="R232" s="351">
        <v>0.08</v>
      </c>
      <c r="S232" s="325">
        <f t="shared" si="28"/>
        <v>16789.972121844734</v>
      </c>
      <c r="T232" s="137">
        <f t="shared" si="29"/>
        <v>932.77622899137407</v>
      </c>
    </row>
    <row r="233" spans="1:20">
      <c r="B233" s="358" t="s">
        <v>245</v>
      </c>
      <c r="C233" s="352">
        <f ca="1">+'Bal Mat Red'!H236</f>
        <v>0.57067214732550153</v>
      </c>
      <c r="D233" s="349">
        <f t="shared" si="26"/>
        <v>410614.92345539073</v>
      </c>
      <c r="E233" s="138">
        <f t="shared" ca="1" si="27"/>
        <v>234326.50009218429</v>
      </c>
      <c r="I233" s="7" t="s">
        <v>360</v>
      </c>
      <c r="L233" s="358" t="s">
        <v>245</v>
      </c>
      <c r="M233" s="377">
        <v>32</v>
      </c>
      <c r="N233" s="363">
        <v>298</v>
      </c>
      <c r="O233" s="349">
        <v>0</v>
      </c>
      <c r="P233" s="270">
        <v>7.16</v>
      </c>
      <c r="Q233" s="346">
        <v>1</v>
      </c>
      <c r="R233" s="352">
        <v>-0.4</v>
      </c>
      <c r="S233" s="270">
        <f t="shared" si="28"/>
        <v>13139.677550572504</v>
      </c>
      <c r="T233" s="138">
        <f t="shared" si="29"/>
        <v>410.61492345539074</v>
      </c>
    </row>
    <row r="234" spans="1:20">
      <c r="C234" s="210">
        <f ca="1">SUM(C228:C233)</f>
        <v>34.956111687120142</v>
      </c>
      <c r="D234" s="267"/>
      <c r="E234" s="267">
        <f ca="1">SUM(E228:E233)</f>
        <v>17423882.034923006</v>
      </c>
      <c r="I234" s="347">
        <f ca="1">+E234/1000</f>
        <v>17423.882034923005</v>
      </c>
    </row>
    <row r="236" spans="1:20">
      <c r="A236" s="7">
        <v>2</v>
      </c>
      <c r="B236" s="190" t="s">
        <v>329</v>
      </c>
    </row>
    <row r="238" spans="1:20">
      <c r="B238" s="266" t="s">
        <v>333</v>
      </c>
      <c r="D238" s="331">
        <f>+D225</f>
        <v>1629.4237297126108</v>
      </c>
      <c r="E238" t="s">
        <v>334</v>
      </c>
      <c r="S238" s="360">
        <f>+D238+273</f>
        <v>1902.4237297126108</v>
      </c>
      <c r="T238" t="s">
        <v>365</v>
      </c>
    </row>
    <row r="239" spans="1:20">
      <c r="B239" s="266"/>
      <c r="D239" s="353"/>
      <c r="L239" s="183"/>
      <c r="M239" s="364"/>
      <c r="N239" s="365" t="s">
        <v>366</v>
      </c>
      <c r="O239" s="366" t="s">
        <v>367</v>
      </c>
      <c r="P239" s="1438" t="s">
        <v>368</v>
      </c>
      <c r="Q239" s="1438"/>
      <c r="R239" s="1439"/>
      <c r="S239" s="366" t="s">
        <v>369</v>
      </c>
      <c r="T239" s="183"/>
    </row>
    <row r="240" spans="1:20">
      <c r="C240" s="7" t="s">
        <v>151</v>
      </c>
      <c r="D240" s="7" t="s">
        <v>314</v>
      </c>
      <c r="E240" s="7" t="s">
        <v>315</v>
      </c>
      <c r="L240" s="260"/>
      <c r="M240" s="367" t="s">
        <v>370</v>
      </c>
      <c r="N240" s="368" t="s">
        <v>371</v>
      </c>
      <c r="O240" s="368" t="s">
        <v>372</v>
      </c>
      <c r="P240" s="369" t="s">
        <v>373</v>
      </c>
      <c r="Q240" s="367" t="s">
        <v>374</v>
      </c>
      <c r="R240" s="370" t="s">
        <v>375</v>
      </c>
      <c r="S240" s="371" t="s">
        <v>376</v>
      </c>
      <c r="T240" s="372" t="s">
        <v>220</v>
      </c>
    </row>
    <row r="241" spans="1:20">
      <c r="B241" s="183" t="s">
        <v>104</v>
      </c>
      <c r="C241" s="350">
        <f ca="1">+'Bal Mat Red'!G217</f>
        <v>3.4852564887296178</v>
      </c>
      <c r="D241" s="348">
        <f t="shared" ref="D241:D247" si="30">+T241*1000</f>
        <v>209860.02551776831</v>
      </c>
      <c r="E241" s="171">
        <f t="shared" ref="E241:E247" ca="1" si="31">+C241*D241</f>
        <v>731416.01566076523</v>
      </c>
      <c r="L241" s="183" t="s">
        <v>104</v>
      </c>
      <c r="M241" s="361">
        <f>118.7+16*2</f>
        <v>150.69999999999999</v>
      </c>
      <c r="N241" s="361">
        <v>298</v>
      </c>
      <c r="O241" s="348">
        <v>0</v>
      </c>
      <c r="P241" s="324">
        <v>13.94</v>
      </c>
      <c r="Q241" s="345">
        <v>5.65</v>
      </c>
      <c r="R241" s="350">
        <v>-2.52</v>
      </c>
      <c r="S241" s="324">
        <f t="shared" ref="S241:S247" si="32">+(P241*($S$238-N241)+Q241*10^(-3)*($S$238^2-N241^2)/2-R241*10^5*($S$238^(-1)-N241^(-1)))+O241</f>
        <v>31625.905845527683</v>
      </c>
      <c r="T241" s="171">
        <f t="shared" ref="T241:T247" si="33">+S241/M241</f>
        <v>209.86002551776832</v>
      </c>
    </row>
    <row r="242" spans="1:20">
      <c r="B242" s="100" t="s">
        <v>134</v>
      </c>
      <c r="C242" s="351">
        <f>+'Bal Mat Red'!G218</f>
        <v>7.6053622285425213E-2</v>
      </c>
      <c r="D242" s="334">
        <f t="shared" si="30"/>
        <v>306866.78848869674</v>
      </c>
      <c r="E242" s="137">
        <f t="shared" si="31"/>
        <v>23338.33082366081</v>
      </c>
      <c r="L242" s="100" t="s">
        <v>134</v>
      </c>
      <c r="M242" s="362">
        <v>71.849999999999994</v>
      </c>
      <c r="N242" s="362">
        <v>298</v>
      </c>
      <c r="O242" s="334">
        <v>0</v>
      </c>
      <c r="P242" s="325">
        <v>11.66</v>
      </c>
      <c r="Q242" s="21">
        <v>2</v>
      </c>
      <c r="R242" s="351">
        <v>-0.67</v>
      </c>
      <c r="S242" s="325">
        <f t="shared" si="32"/>
        <v>22048.378752912857</v>
      </c>
      <c r="T242" s="137">
        <f t="shared" si="33"/>
        <v>306.86678848869673</v>
      </c>
    </row>
    <row r="243" spans="1:20">
      <c r="B243" s="100" t="s">
        <v>6</v>
      </c>
      <c r="C243" s="351">
        <f ca="1">+'Bal Mat Red'!G219</f>
        <v>7.5719218460090654E-3</v>
      </c>
      <c r="D243" s="334">
        <f t="shared" si="30"/>
        <v>52654.83282840615</v>
      </c>
      <c r="E243" s="137">
        <f t="shared" ca="1" si="31"/>
        <v>398.69827899136385</v>
      </c>
      <c r="L243" s="100" t="s">
        <v>6</v>
      </c>
      <c r="M243" s="362">
        <v>207.2</v>
      </c>
      <c r="N243" s="362">
        <v>298</v>
      </c>
      <c r="O243" s="334">
        <v>0</v>
      </c>
      <c r="P243" s="325">
        <v>6.8</v>
      </c>
      <c r="Q243" s="21">
        <v>0</v>
      </c>
      <c r="R243" s="351">
        <v>0</v>
      </c>
      <c r="S243" s="325">
        <f t="shared" si="32"/>
        <v>10910.081362045754</v>
      </c>
      <c r="T243" s="137">
        <f t="shared" si="33"/>
        <v>52.65483282840615</v>
      </c>
    </row>
    <row r="244" spans="1:20">
      <c r="B244" s="100" t="s">
        <v>8</v>
      </c>
      <c r="C244" s="351">
        <f ca="1">+'Bal Mat Red'!G220</f>
        <v>3.3926492871451134E-3</v>
      </c>
      <c r="D244" s="334">
        <f t="shared" si="30"/>
        <v>94184.15162106049</v>
      </c>
      <c r="E244" s="137">
        <f t="shared" ca="1" si="31"/>
        <v>319.53379485755812</v>
      </c>
      <c r="L244" s="100" t="s">
        <v>8</v>
      </c>
      <c r="M244" s="362">
        <v>121.8</v>
      </c>
      <c r="N244" s="362">
        <v>298</v>
      </c>
      <c r="O244" s="334">
        <v>0</v>
      </c>
      <c r="P244" s="325">
        <v>7.15</v>
      </c>
      <c r="Q244" s="21">
        <v>0</v>
      </c>
      <c r="R244" s="351">
        <v>0</v>
      </c>
      <c r="S244" s="325">
        <f t="shared" si="32"/>
        <v>11471.629667445168</v>
      </c>
      <c r="T244" s="137">
        <f t="shared" si="33"/>
        <v>94.184151621060494</v>
      </c>
    </row>
    <row r="245" spans="1:20">
      <c r="B245" s="100" t="s">
        <v>9</v>
      </c>
      <c r="C245" s="351">
        <f ca="1">+'Bal Mat Red'!G221</f>
        <v>2.0797028640027145E-2</v>
      </c>
      <c r="D245" s="334">
        <f t="shared" si="30"/>
        <v>165893.89556797539</v>
      </c>
      <c r="E245" s="137">
        <f t="shared" ca="1" si="31"/>
        <v>3450.1000973328564</v>
      </c>
      <c r="L245" s="100" t="s">
        <v>9</v>
      </c>
      <c r="M245" s="362">
        <v>74.900000000000006</v>
      </c>
      <c r="N245" s="362">
        <v>298</v>
      </c>
      <c r="O245" s="334">
        <v>0</v>
      </c>
      <c r="P245" s="325">
        <v>5.17</v>
      </c>
      <c r="Q245" s="21">
        <v>2.34</v>
      </c>
      <c r="R245" s="351">
        <v>0</v>
      </c>
      <c r="S245" s="325">
        <f t="shared" si="32"/>
        <v>12425.452778041357</v>
      </c>
      <c r="T245" s="137">
        <f t="shared" si="33"/>
        <v>165.89389556797539</v>
      </c>
    </row>
    <row r="246" spans="1:20">
      <c r="B246" s="100" t="s">
        <v>75</v>
      </c>
      <c r="C246" s="351">
        <f ca="1">+'Bal Mat Red'!G222</f>
        <v>1.1480398303636745E-2</v>
      </c>
      <c r="D246" s="334">
        <f t="shared" si="30"/>
        <v>189498.86571408791</v>
      </c>
      <c r="E246" s="137">
        <f t="shared" ca="1" si="31"/>
        <v>2175.5224564851023</v>
      </c>
      <c r="L246" s="100" t="s">
        <v>75</v>
      </c>
      <c r="M246" s="362">
        <v>63.5</v>
      </c>
      <c r="N246" s="362">
        <v>298</v>
      </c>
      <c r="O246" s="334">
        <v>0</v>
      </c>
      <c r="P246" s="325">
        <v>7.5</v>
      </c>
      <c r="Q246" s="21">
        <v>0</v>
      </c>
      <c r="R246" s="351">
        <v>0</v>
      </c>
      <c r="S246" s="325">
        <f t="shared" si="32"/>
        <v>12033.177972844582</v>
      </c>
      <c r="T246" s="137">
        <f t="shared" si="33"/>
        <v>189.49886571408791</v>
      </c>
    </row>
    <row r="247" spans="1:20">
      <c r="B247" s="260" t="s">
        <v>103</v>
      </c>
      <c r="C247" s="352">
        <f ca="1">+'Bal Mat Red'!G223</f>
        <v>2.3777906158910596</v>
      </c>
      <c r="D247" s="349">
        <f t="shared" si="30"/>
        <v>440417.16952053504</v>
      </c>
      <c r="E247" s="138">
        <f t="shared" ca="1" si="31"/>
        <v>1047219.8127632302</v>
      </c>
      <c r="I247" s="7" t="s">
        <v>360</v>
      </c>
      <c r="L247" s="260" t="s">
        <v>103</v>
      </c>
      <c r="M247" s="363">
        <f>+M141</f>
        <v>74</v>
      </c>
      <c r="N247" s="363">
        <v>298</v>
      </c>
      <c r="O247" s="349">
        <v>0</v>
      </c>
      <c r="P247" s="363">
        <f>+P141</f>
        <v>20.082666666666668</v>
      </c>
      <c r="Q247" s="363">
        <f>+Q141</f>
        <v>1.6286666666666667</v>
      </c>
      <c r="R247" s="363">
        <f>+R141</f>
        <v>-8.8520000000000003</v>
      </c>
      <c r="S247" s="270">
        <f t="shared" si="32"/>
        <v>32590.870544519592</v>
      </c>
      <c r="T247" s="138">
        <f t="shared" si="33"/>
        <v>440.41716952053503</v>
      </c>
    </row>
    <row r="248" spans="1:20">
      <c r="C248" s="210">
        <f ca="1">SUM(C241:C247)</f>
        <v>5.9952078089004424</v>
      </c>
      <c r="E248" s="267">
        <f ca="1">SUM(E241:E247)</f>
        <v>1812265.8808607305</v>
      </c>
      <c r="I248" s="347">
        <f ca="1">+E248/1000</f>
        <v>1812.2658808607305</v>
      </c>
    </row>
    <row r="250" spans="1:20">
      <c r="A250" s="7">
        <v>3</v>
      </c>
      <c r="B250" s="190" t="s">
        <v>331</v>
      </c>
    </row>
    <row r="251" spans="1:20">
      <c r="I251" s="7" t="s">
        <v>360</v>
      </c>
    </row>
    <row r="252" spans="1:20">
      <c r="B252" t="s">
        <v>358</v>
      </c>
      <c r="D252" s="657">
        <f>+Factores!K49</f>
        <v>6</v>
      </c>
      <c r="E252" t="s">
        <v>212</v>
      </c>
      <c r="I252" s="347">
        <f ca="1">+D252/100*I218</f>
        <v>1227.8449428374595</v>
      </c>
    </row>
    <row r="254" spans="1:20">
      <c r="I254" s="7" t="s">
        <v>360</v>
      </c>
    </row>
    <row r="255" spans="1:20">
      <c r="B255" s="408" t="s">
        <v>359</v>
      </c>
      <c r="C255" s="409"/>
      <c r="D255" s="409"/>
      <c r="E255" s="409"/>
      <c r="F255" s="409"/>
      <c r="G255" s="409"/>
      <c r="H255" s="410"/>
      <c r="I255" s="411">
        <f ca="1">+I252+I248+I234</f>
        <v>20463.992858621194</v>
      </c>
    </row>
    <row r="259" spans="1:17" ht="16.8">
      <c r="B259" s="357" t="s">
        <v>405</v>
      </c>
    </row>
    <row r="260" spans="1:17">
      <c r="B260" s="190"/>
      <c r="I260" s="7" t="s">
        <v>360</v>
      </c>
    </row>
    <row r="261" spans="1:17">
      <c r="A261" s="7">
        <v>1</v>
      </c>
      <c r="B261" s="190" t="s">
        <v>327</v>
      </c>
      <c r="E261" s="395">
        <f>+D225</f>
        <v>1629.4237297126108</v>
      </c>
      <c r="I261" s="347">
        <f ca="1">+I234</f>
        <v>17423.882034923005</v>
      </c>
    </row>
    <row r="262" spans="1:17">
      <c r="B262" s="190"/>
    </row>
    <row r="263" spans="1:17">
      <c r="B263" s="190"/>
      <c r="I263" s="7" t="s">
        <v>360</v>
      </c>
    </row>
    <row r="264" spans="1:17">
      <c r="A264" s="7">
        <v>2</v>
      </c>
      <c r="B264" s="190" t="s">
        <v>329</v>
      </c>
      <c r="E264" s="395">
        <f>+D238</f>
        <v>1629.4237297126108</v>
      </c>
      <c r="I264" s="347">
        <f ca="1">+I248</f>
        <v>1812.2658808607305</v>
      </c>
    </row>
    <row r="265" spans="1:17">
      <c r="A265" s="7"/>
      <c r="B265" s="190"/>
      <c r="E265" s="252"/>
      <c r="I265" s="354"/>
    </row>
    <row r="266" spans="1:17">
      <c r="A266" s="7"/>
      <c r="E266" s="7" t="s">
        <v>349</v>
      </c>
      <c r="F266" s="7" t="s">
        <v>314</v>
      </c>
      <c r="G266" s="7" t="s">
        <v>315</v>
      </c>
      <c r="I266" s="7" t="s">
        <v>360</v>
      </c>
      <c r="L266" s="378"/>
      <c r="M266" s="379"/>
      <c r="N266" s="380"/>
      <c r="O266" s="269" t="s">
        <v>380</v>
      </c>
      <c r="P266" s="269" t="s">
        <v>381</v>
      </c>
      <c r="Q266" s="241" t="s">
        <v>382</v>
      </c>
    </row>
    <row r="267" spans="1:17">
      <c r="A267" s="7"/>
      <c r="B267" s="378" t="s">
        <v>352</v>
      </c>
      <c r="C267" s="379"/>
      <c r="D267" s="380"/>
      <c r="E267" s="407">
        <f ca="1">+'Bal Mat Red'!S233</f>
        <v>0</v>
      </c>
      <c r="F267" s="405">
        <f>+-Q267*1000</f>
        <v>2415357.1428571427</v>
      </c>
      <c r="G267" s="406">
        <f ca="1">+E267*F267</f>
        <v>0</v>
      </c>
      <c r="I267" s="347">
        <f ca="1">+G267/1000</f>
        <v>0</v>
      </c>
      <c r="L267" s="378" t="s">
        <v>352</v>
      </c>
      <c r="M267" s="379"/>
      <c r="N267" s="380"/>
      <c r="O267" s="679">
        <v>-67.63</v>
      </c>
      <c r="P267" s="379">
        <f>12+16</f>
        <v>28</v>
      </c>
      <c r="Q267" s="406">
        <f>+O267/P267*1000</f>
        <v>-2415.3571428571427</v>
      </c>
    </row>
    <row r="268" spans="1:17">
      <c r="A268" s="7"/>
      <c r="B268" s="190"/>
      <c r="E268" s="252"/>
      <c r="I268" s="354"/>
    </row>
    <row r="269" spans="1:17">
      <c r="A269" s="7"/>
      <c r="B269" s="190"/>
      <c r="E269" s="267"/>
      <c r="I269" s="267"/>
    </row>
    <row r="270" spans="1:17">
      <c r="A270" s="7"/>
      <c r="I270" s="7" t="s">
        <v>360</v>
      </c>
    </row>
    <row r="271" spans="1:17">
      <c r="A271" s="7"/>
      <c r="B271" s="412" t="s">
        <v>406</v>
      </c>
      <c r="C271" s="413"/>
      <c r="D271" s="413"/>
      <c r="E271" s="413"/>
      <c r="F271" s="413"/>
      <c r="G271" s="413"/>
      <c r="H271" s="414"/>
      <c r="I271" s="415">
        <f ca="1">+I264+I261+I267</f>
        <v>19236.147915783735</v>
      </c>
    </row>
    <row r="273" spans="1:20">
      <c r="E273" s="7" t="s">
        <v>151</v>
      </c>
      <c r="F273" s="7" t="s">
        <v>314</v>
      </c>
      <c r="G273" s="7" t="s">
        <v>315</v>
      </c>
      <c r="I273" s="7" t="s">
        <v>360</v>
      </c>
    </row>
    <row r="274" spans="1:20">
      <c r="A274" s="7">
        <v>1</v>
      </c>
      <c r="B274" s="396" t="s">
        <v>401</v>
      </c>
      <c r="C274" s="396"/>
      <c r="D274" s="396"/>
      <c r="E274" s="407">
        <f>+'Bal Mat Red'!O229*'Bal Mat Red'!L11/1000</f>
        <v>24.768885362287865</v>
      </c>
      <c r="F274" s="405">
        <f>+F162</f>
        <v>540555.5555555555</v>
      </c>
      <c r="G274" s="406">
        <f>+E274*F274</f>
        <v>13388958.587503383</v>
      </c>
      <c r="I274" s="347">
        <f>+G274/1000</f>
        <v>13388.958587503383</v>
      </c>
    </row>
    <row r="276" spans="1:20">
      <c r="A276" s="7">
        <v>2</v>
      </c>
      <c r="B276" s="190" t="s">
        <v>327</v>
      </c>
    </row>
    <row r="278" spans="1:20">
      <c r="B278" s="266" t="s">
        <v>333</v>
      </c>
      <c r="D278" s="657">
        <f>+Factores!H42</f>
        <v>200</v>
      </c>
      <c r="E278" t="s">
        <v>334</v>
      </c>
      <c r="S278" s="360">
        <f>+D278+273</f>
        <v>473</v>
      </c>
      <c r="T278" t="s">
        <v>365</v>
      </c>
    </row>
    <row r="279" spans="1:20">
      <c r="A279" s="7"/>
      <c r="B279" s="266"/>
      <c r="D279" s="353"/>
      <c r="L279" s="183"/>
      <c r="M279" s="364"/>
      <c r="N279" s="365" t="s">
        <v>366</v>
      </c>
      <c r="O279" s="366" t="s">
        <v>367</v>
      </c>
      <c r="P279" s="1438" t="s">
        <v>368</v>
      </c>
      <c r="Q279" s="1438"/>
      <c r="R279" s="1439"/>
      <c r="S279" s="366" t="s">
        <v>369</v>
      </c>
      <c r="T279" s="183"/>
    </row>
    <row r="280" spans="1:20">
      <c r="A280" s="7"/>
      <c r="C280" s="7" t="s">
        <v>151</v>
      </c>
      <c r="D280" s="7" t="s">
        <v>314</v>
      </c>
      <c r="E280" s="7" t="s">
        <v>315</v>
      </c>
      <c r="L280" s="260"/>
      <c r="M280" s="367" t="s">
        <v>370</v>
      </c>
      <c r="N280" s="368" t="s">
        <v>371</v>
      </c>
      <c r="O280" s="368" t="s">
        <v>372</v>
      </c>
      <c r="P280" s="369" t="s">
        <v>373</v>
      </c>
      <c r="Q280" s="367" t="s">
        <v>374</v>
      </c>
      <c r="R280" s="370" t="s">
        <v>375</v>
      </c>
      <c r="S280" s="371" t="s">
        <v>376</v>
      </c>
      <c r="T280" s="372" t="s">
        <v>220</v>
      </c>
    </row>
    <row r="281" spans="1:20">
      <c r="A281" s="7"/>
      <c r="B281" s="152" t="s">
        <v>217</v>
      </c>
      <c r="C281" s="348">
        <f ca="1">+'Bal Mat Red'!L231</f>
        <v>9.3334741961346701</v>
      </c>
      <c r="D281" s="348">
        <f t="shared" ref="D281:D286" si="34">+T281*1000</f>
        <v>39515.792777334202</v>
      </c>
      <c r="E281" s="171">
        <f t="shared" ref="E281:E286" ca="1" si="35">+C281*D281</f>
        <v>368819.63222705352</v>
      </c>
      <c r="L281" s="183" t="s">
        <v>217</v>
      </c>
      <c r="M281" s="374">
        <v>44</v>
      </c>
      <c r="N281" s="361">
        <v>298</v>
      </c>
      <c r="O281" s="348">
        <v>0</v>
      </c>
      <c r="P281" s="324">
        <v>10.55</v>
      </c>
      <c r="Q281" s="345">
        <v>2.16</v>
      </c>
      <c r="R281" s="350">
        <v>-2.04</v>
      </c>
      <c r="S281" s="324">
        <f t="shared" ref="S281:S286" si="36">+(P281*($S$278-N281)+Q281*10^(-3)*($S$278^2-N281^2)/2-R281*10^5*($S$278^(-1)-N281^(-1)))+O281</f>
        <v>1738.6948822027048</v>
      </c>
      <c r="T281" s="171">
        <f t="shared" ref="T281:T286" si="37">+S281/M281</f>
        <v>39.515792777334198</v>
      </c>
    </row>
    <row r="282" spans="1:20">
      <c r="A282" s="7"/>
      <c r="B282" s="135" t="s">
        <v>195</v>
      </c>
      <c r="C282" s="334">
        <f ca="1">+'Bal Mat Red'!L232</f>
        <v>0</v>
      </c>
      <c r="D282" s="334">
        <f t="shared" si="34"/>
        <v>44310.93972412985</v>
      </c>
      <c r="E282" s="137">
        <f t="shared" ca="1" si="35"/>
        <v>0</v>
      </c>
      <c r="L282" s="100" t="s">
        <v>195</v>
      </c>
      <c r="M282" s="375">
        <v>28</v>
      </c>
      <c r="N282" s="362">
        <v>298</v>
      </c>
      <c r="O282" s="334">
        <v>0</v>
      </c>
      <c r="P282" s="325">
        <v>6.79</v>
      </c>
      <c r="Q282" s="21">
        <v>0.98</v>
      </c>
      <c r="R282" s="351">
        <v>-0.11</v>
      </c>
      <c r="S282" s="325">
        <f t="shared" si="36"/>
        <v>1240.7063122756358</v>
      </c>
      <c r="T282" s="137">
        <f t="shared" si="37"/>
        <v>44.310939724129852</v>
      </c>
    </row>
    <row r="283" spans="1:20">
      <c r="A283" s="7"/>
      <c r="B283" s="135" t="s">
        <v>219</v>
      </c>
      <c r="C283" s="334">
        <f>+'Bal Mat Red'!L233</f>
        <v>24.29542661509986</v>
      </c>
      <c r="D283" s="334">
        <f t="shared" si="34"/>
        <v>44082.5625</v>
      </c>
      <c r="E283" s="137">
        <f t="shared" si="35"/>
        <v>1071004.662224303</v>
      </c>
      <c r="L283" s="100" t="s">
        <v>219</v>
      </c>
      <c r="M283" s="375">
        <v>28</v>
      </c>
      <c r="N283" s="362">
        <v>298</v>
      </c>
      <c r="O283" s="334">
        <v>0</v>
      </c>
      <c r="P283" s="325">
        <v>6.66</v>
      </c>
      <c r="Q283" s="21">
        <v>1.02</v>
      </c>
      <c r="R283" s="351">
        <v>0</v>
      </c>
      <c r="S283" s="325">
        <f t="shared" si="36"/>
        <v>1234.3117500000001</v>
      </c>
      <c r="T283" s="137">
        <f t="shared" si="37"/>
        <v>44.082562500000002</v>
      </c>
    </row>
    <row r="284" spans="1:20">
      <c r="B284" s="135" t="s">
        <v>239</v>
      </c>
      <c r="C284" s="334">
        <f>+'Bal Mat Red'!L234</f>
        <v>3.4874053396988215E-2</v>
      </c>
      <c r="D284" s="334">
        <f t="shared" si="34"/>
        <v>28305.564052756134</v>
      </c>
      <c r="E284" s="137">
        <f t="shared" si="35"/>
        <v>987.1297522076876</v>
      </c>
      <c r="L284" s="100" t="s">
        <v>239</v>
      </c>
      <c r="M284" s="375">
        <v>64</v>
      </c>
      <c r="N284" s="362">
        <v>298</v>
      </c>
      <c r="O284" s="334">
        <v>0</v>
      </c>
      <c r="P284" s="325">
        <v>10.38</v>
      </c>
      <c r="Q284" s="21">
        <v>2.54</v>
      </c>
      <c r="R284" s="351">
        <v>-1.42</v>
      </c>
      <c r="S284" s="325">
        <f t="shared" si="36"/>
        <v>1811.5560993763925</v>
      </c>
      <c r="T284" s="137">
        <f t="shared" si="37"/>
        <v>28.305564052756132</v>
      </c>
    </row>
    <row r="285" spans="1:20">
      <c r="B285" s="135" t="s">
        <v>150</v>
      </c>
      <c r="C285" s="334">
        <f>+'Bal Mat Red'!L235</f>
        <v>28.354300037450983</v>
      </c>
      <c r="D285" s="334">
        <f t="shared" si="34"/>
        <v>121226.24455226245</v>
      </c>
      <c r="E285" s="137">
        <f t="shared" si="35"/>
        <v>3437285.3104482573</v>
      </c>
      <c r="L285" s="100" t="s">
        <v>150</v>
      </c>
      <c r="M285" s="375">
        <v>18</v>
      </c>
      <c r="N285" s="362">
        <v>373</v>
      </c>
      <c r="O285" s="334">
        <v>1352.25</v>
      </c>
      <c r="P285" s="325">
        <v>7.17</v>
      </c>
      <c r="Q285" s="21">
        <v>2.56</v>
      </c>
      <c r="R285" s="351">
        <v>0.08</v>
      </c>
      <c r="S285" s="325">
        <f t="shared" si="36"/>
        <v>2182.0724019407239</v>
      </c>
      <c r="T285" s="137">
        <f t="shared" si="37"/>
        <v>121.22624455226244</v>
      </c>
    </row>
    <row r="286" spans="1:20">
      <c r="B286" s="177" t="s">
        <v>245</v>
      </c>
      <c r="C286" s="349">
        <f ca="1">+'Bal Mat Red'!L236</f>
        <v>1.4406721473255015</v>
      </c>
      <c r="D286" s="349">
        <f t="shared" si="34"/>
        <v>39712.52838359501</v>
      </c>
      <c r="E286" s="138">
        <f t="shared" ca="1" si="35"/>
        <v>57212.733542118753</v>
      </c>
      <c r="I286" s="7" t="s">
        <v>360</v>
      </c>
      <c r="L286" s="358" t="s">
        <v>245</v>
      </c>
      <c r="M286" s="377">
        <v>32</v>
      </c>
      <c r="N286" s="363">
        <v>298</v>
      </c>
      <c r="O286" s="349">
        <v>0</v>
      </c>
      <c r="P286" s="270">
        <v>7.16</v>
      </c>
      <c r="Q286" s="346">
        <v>1</v>
      </c>
      <c r="R286" s="352">
        <v>-0.4</v>
      </c>
      <c r="S286" s="270">
        <f t="shared" si="36"/>
        <v>1270.8009082750402</v>
      </c>
      <c r="T286" s="138">
        <f t="shared" si="37"/>
        <v>39.712528383595007</v>
      </c>
    </row>
    <row r="287" spans="1:20">
      <c r="C287" s="210">
        <f ca="1">SUM(C281:C286)</f>
        <v>63.458747049408004</v>
      </c>
      <c r="D287" s="267"/>
      <c r="E287" s="267">
        <f ca="1">SUM(E281:E286)</f>
        <v>4935309.4681939408</v>
      </c>
      <c r="I287" s="347">
        <f ca="1">+E287/1000</f>
        <v>4935.309468193941</v>
      </c>
    </row>
    <row r="289" spans="1:20">
      <c r="A289" s="7">
        <v>3</v>
      </c>
      <c r="B289" s="190" t="s">
        <v>329</v>
      </c>
    </row>
    <row r="291" spans="1:20">
      <c r="B291" s="266" t="s">
        <v>333</v>
      </c>
      <c r="D291" s="331">
        <f>+D278</f>
        <v>200</v>
      </c>
      <c r="E291" t="s">
        <v>334</v>
      </c>
      <c r="S291" s="360">
        <f>+D291+273</f>
        <v>473</v>
      </c>
      <c r="T291" t="s">
        <v>365</v>
      </c>
    </row>
    <row r="292" spans="1:20">
      <c r="B292" s="266"/>
      <c r="D292" s="353"/>
      <c r="L292" s="183"/>
      <c r="M292" s="364"/>
      <c r="N292" s="365" t="s">
        <v>366</v>
      </c>
      <c r="O292" s="366" t="s">
        <v>367</v>
      </c>
      <c r="P292" s="1438" t="s">
        <v>368</v>
      </c>
      <c r="Q292" s="1438"/>
      <c r="R292" s="1439"/>
      <c r="S292" s="366" t="s">
        <v>369</v>
      </c>
      <c r="T292" s="183"/>
    </row>
    <row r="293" spans="1:20">
      <c r="C293" s="7" t="s">
        <v>151</v>
      </c>
      <c r="D293" s="7" t="s">
        <v>314</v>
      </c>
      <c r="E293" s="7" t="s">
        <v>315</v>
      </c>
      <c r="L293" s="260"/>
      <c r="M293" s="367" t="s">
        <v>370</v>
      </c>
      <c r="N293" s="368" t="s">
        <v>371</v>
      </c>
      <c r="O293" s="368" t="s">
        <v>372</v>
      </c>
      <c r="P293" s="369" t="s">
        <v>373</v>
      </c>
      <c r="Q293" s="367" t="s">
        <v>374</v>
      </c>
      <c r="R293" s="370" t="s">
        <v>375</v>
      </c>
      <c r="S293" s="371" t="s">
        <v>376</v>
      </c>
      <c r="T293" s="372" t="s">
        <v>220</v>
      </c>
    </row>
    <row r="294" spans="1:20">
      <c r="B294" s="183" t="s">
        <v>104</v>
      </c>
      <c r="C294" s="348">
        <f ca="1">+C241</f>
        <v>3.4852564887296178</v>
      </c>
      <c r="D294" s="348">
        <f>+T294*1000</f>
        <v>16640.976092453569</v>
      </c>
      <c r="E294" s="171">
        <f ca="1">+C294*D294</f>
        <v>57998.069905018245</v>
      </c>
      <c r="L294" s="183" t="s">
        <v>104</v>
      </c>
      <c r="M294" s="361">
        <f>118.7+16*2</f>
        <v>150.69999999999999</v>
      </c>
      <c r="N294" s="361">
        <v>298</v>
      </c>
      <c r="O294" s="348">
        <v>0</v>
      </c>
      <c r="P294" s="324">
        <v>13.94</v>
      </c>
      <c r="Q294" s="345">
        <v>5.65</v>
      </c>
      <c r="R294" s="350">
        <v>-2.52</v>
      </c>
      <c r="S294" s="324">
        <f>+(P294*($S$291-N294)+Q294*10^(-3)*($S$291^2-N294^2)/2-R294*10^5*($S$291^(-1)-N294^(-1)))+O294</f>
        <v>2507.7950971327527</v>
      </c>
      <c r="T294" s="171">
        <f t="shared" ref="T294:T300" si="38">+S294/M294</f>
        <v>16.64097609245357</v>
      </c>
    </row>
    <row r="295" spans="1:20">
      <c r="B295" s="100" t="s">
        <v>134</v>
      </c>
      <c r="C295" s="334">
        <f t="shared" ref="C295:C300" si="39">+C242</f>
        <v>7.6053622285425213E-2</v>
      </c>
      <c r="D295" s="334">
        <f t="shared" ref="D295:D300" si="40">+T295*1000</f>
        <v>29119.580151157861</v>
      </c>
      <c r="E295" s="137">
        <f t="shared" ref="E295:E300" si="41">+C295*D295</f>
        <v>2214.6495499263251</v>
      </c>
      <c r="L295" s="100" t="s">
        <v>134</v>
      </c>
      <c r="M295" s="362">
        <v>71.849999999999994</v>
      </c>
      <c r="N295" s="362">
        <v>298</v>
      </c>
      <c r="O295" s="334">
        <v>0</v>
      </c>
      <c r="P295" s="325">
        <v>11.66</v>
      </c>
      <c r="Q295" s="21">
        <v>2</v>
      </c>
      <c r="R295" s="351">
        <v>-0.67</v>
      </c>
      <c r="S295" s="325">
        <f t="shared" ref="S295:S300" si="42">+(P295*($S$291-N295)+Q295*10^(-3)*($S$291^2-N295^2)/2-R295*10^5*($S$291^(-1)-N295^(-1)))+O295</f>
        <v>2092.2418338606922</v>
      </c>
      <c r="T295" s="137">
        <f t="shared" si="38"/>
        <v>29.119580151157862</v>
      </c>
    </row>
    <row r="296" spans="1:20">
      <c r="B296" s="100" t="s">
        <v>6</v>
      </c>
      <c r="C296" s="334">
        <f t="shared" ca="1" si="39"/>
        <v>7.5719218460090654E-3</v>
      </c>
      <c r="D296" s="334">
        <f t="shared" si="40"/>
        <v>5743.2432432432443</v>
      </c>
      <c r="E296" s="137">
        <f t="shared" ca="1" si="41"/>
        <v>43.487388980457482</v>
      </c>
      <c r="L296" s="100" t="s">
        <v>6</v>
      </c>
      <c r="M296" s="362">
        <v>207.2</v>
      </c>
      <c r="N296" s="362">
        <v>298</v>
      </c>
      <c r="O296" s="334">
        <v>0</v>
      </c>
      <c r="P296" s="325">
        <v>6.8</v>
      </c>
      <c r="Q296" s="21">
        <v>0</v>
      </c>
      <c r="R296" s="351">
        <v>0</v>
      </c>
      <c r="S296" s="325">
        <f t="shared" si="42"/>
        <v>1190</v>
      </c>
      <c r="T296" s="137">
        <f t="shared" si="38"/>
        <v>5.7432432432432439</v>
      </c>
    </row>
    <row r="297" spans="1:20">
      <c r="B297" s="100" t="s">
        <v>8</v>
      </c>
      <c r="C297" s="334">
        <f t="shared" ca="1" si="39"/>
        <v>3.3926492871451134E-3</v>
      </c>
      <c r="D297" s="334">
        <f t="shared" si="40"/>
        <v>10272.988505747127</v>
      </c>
      <c r="E297" s="137">
        <f t="shared" ca="1" si="41"/>
        <v>34.852647130872938</v>
      </c>
      <c r="L297" s="100" t="s">
        <v>8</v>
      </c>
      <c r="M297" s="362">
        <v>121.8</v>
      </c>
      <c r="N297" s="362">
        <v>298</v>
      </c>
      <c r="O297" s="334">
        <v>0</v>
      </c>
      <c r="P297" s="325">
        <v>7.15</v>
      </c>
      <c r="Q297" s="21">
        <v>0</v>
      </c>
      <c r="R297" s="351">
        <v>0</v>
      </c>
      <c r="S297" s="325">
        <f t="shared" si="42"/>
        <v>1251.25</v>
      </c>
      <c r="T297" s="137">
        <f t="shared" si="38"/>
        <v>10.272988505747128</v>
      </c>
    </row>
    <row r="298" spans="1:20">
      <c r="B298" s="100" t="s">
        <v>9</v>
      </c>
      <c r="C298" s="334">
        <f t="shared" ca="1" si="39"/>
        <v>2.0797028640027145E-2</v>
      </c>
      <c r="D298" s="334">
        <f t="shared" si="40"/>
        <v>14187.079439252337</v>
      </c>
      <c r="E298" s="137">
        <f t="shared" ca="1" si="41"/>
        <v>295.04909741647111</v>
      </c>
      <c r="L298" s="100" t="s">
        <v>9</v>
      </c>
      <c r="M298" s="362">
        <v>74.900000000000006</v>
      </c>
      <c r="N298" s="362">
        <v>298</v>
      </c>
      <c r="O298" s="334">
        <v>0</v>
      </c>
      <c r="P298" s="325">
        <v>5.17</v>
      </c>
      <c r="Q298" s="21">
        <v>2.34</v>
      </c>
      <c r="R298" s="351">
        <v>0</v>
      </c>
      <c r="S298" s="325">
        <f t="shared" si="42"/>
        <v>1062.6122500000001</v>
      </c>
      <c r="T298" s="137">
        <f t="shared" si="38"/>
        <v>14.187079439252336</v>
      </c>
    </row>
    <row r="299" spans="1:20">
      <c r="B299" s="100" t="s">
        <v>75</v>
      </c>
      <c r="C299" s="334">
        <f t="shared" ca="1" si="39"/>
        <v>1.1480398303636745E-2</v>
      </c>
      <c r="D299" s="334">
        <f t="shared" si="40"/>
        <v>20669.291338582676</v>
      </c>
      <c r="E299" s="137">
        <f t="shared" ca="1" si="41"/>
        <v>237.29169722083822</v>
      </c>
      <c r="L299" s="100" t="s">
        <v>75</v>
      </c>
      <c r="M299" s="362">
        <v>63.5</v>
      </c>
      <c r="N299" s="362">
        <v>298</v>
      </c>
      <c r="O299" s="334">
        <v>0</v>
      </c>
      <c r="P299" s="325">
        <v>7.5</v>
      </c>
      <c r="Q299" s="21">
        <v>0</v>
      </c>
      <c r="R299" s="351">
        <v>0</v>
      </c>
      <c r="S299" s="325">
        <f t="shared" si="42"/>
        <v>1312.5</v>
      </c>
      <c r="T299" s="137">
        <f t="shared" si="38"/>
        <v>20.669291338582678</v>
      </c>
    </row>
    <row r="300" spans="1:20">
      <c r="B300" s="260" t="s">
        <v>103</v>
      </c>
      <c r="C300" s="349">
        <f t="shared" ca="1" si="39"/>
        <v>2.3777906158910596</v>
      </c>
      <c r="D300" s="349">
        <f t="shared" si="40"/>
        <v>34126.07522693654</v>
      </c>
      <c r="E300" s="138">
        <f t="shared" ca="1" si="41"/>
        <v>81144.661431802073</v>
      </c>
      <c r="I300" s="7" t="s">
        <v>360</v>
      </c>
      <c r="L300" s="260" t="s">
        <v>103</v>
      </c>
      <c r="M300" s="363">
        <f>+M247</f>
        <v>74</v>
      </c>
      <c r="N300" s="363">
        <v>298</v>
      </c>
      <c r="O300" s="349">
        <v>0</v>
      </c>
      <c r="P300" s="363">
        <f>+P247</f>
        <v>20.082666666666668</v>
      </c>
      <c r="Q300" s="363">
        <f>+Q247</f>
        <v>1.6286666666666667</v>
      </c>
      <c r="R300" s="373">
        <f>+R247</f>
        <v>-8.8520000000000003</v>
      </c>
      <c r="S300" s="270">
        <f t="shared" si="42"/>
        <v>2525.3295667933044</v>
      </c>
      <c r="T300" s="138">
        <f t="shared" si="38"/>
        <v>34.126075226936543</v>
      </c>
    </row>
    <row r="301" spans="1:20">
      <c r="C301" s="210">
        <f ca="1">SUM(C294:C300)</f>
        <v>5.9952078089004424</v>
      </c>
      <c r="E301" s="267">
        <f ca="1">SUM(E294:E300)</f>
        <v>142342.68755978291</v>
      </c>
      <c r="I301" s="347">
        <f ca="1">+E301/1000</f>
        <v>142.34268755978292</v>
      </c>
    </row>
    <row r="303" spans="1:20">
      <c r="A303" s="7">
        <v>3</v>
      </c>
      <c r="B303" s="190" t="s">
        <v>331</v>
      </c>
    </row>
    <row r="304" spans="1:20">
      <c r="I304" s="7" t="s">
        <v>360</v>
      </c>
    </row>
    <row r="305" spans="2:9">
      <c r="B305" t="s">
        <v>358</v>
      </c>
      <c r="D305" s="657">
        <f>+Factores!L49</f>
        <v>4</v>
      </c>
      <c r="E305" t="s">
        <v>212</v>
      </c>
      <c r="I305" s="347">
        <f ca="1">+D305/100*I271</f>
        <v>769.44591663134941</v>
      </c>
    </row>
    <row r="307" spans="2:9">
      <c r="I307" s="7" t="s">
        <v>360</v>
      </c>
    </row>
    <row r="308" spans="2:9">
      <c r="B308" s="412" t="s">
        <v>359</v>
      </c>
      <c r="C308" s="413"/>
      <c r="D308" s="413"/>
      <c r="E308" s="413"/>
      <c r="F308" s="413"/>
      <c r="G308" s="413"/>
      <c r="H308" s="414"/>
      <c r="I308" s="415">
        <f ca="1">+I305+I301+I287+I274</f>
        <v>19236.056659888454</v>
      </c>
    </row>
  </sheetData>
  <mergeCells count="12">
    <mergeCell ref="P102:R102"/>
    <mergeCell ref="P117:R117"/>
    <mergeCell ref="P30:R30"/>
    <mergeCell ref="P40:R40"/>
    <mergeCell ref="P87:R87"/>
    <mergeCell ref="P73:R73"/>
    <mergeCell ref="P131:R131"/>
    <mergeCell ref="P199:R199"/>
    <mergeCell ref="P279:R279"/>
    <mergeCell ref="P292:R292"/>
    <mergeCell ref="P226:R226"/>
    <mergeCell ref="P239:R239"/>
  </mergeCells>
  <phoneticPr fontId="10" type="noConversion"/>
  <pageMargins left="0.75" right="0.75" top="1" bottom="1" header="0" footer="0"/>
  <pageSetup paperSize="9" orientation="portrait" horizontalDpi="300" verticalDpi="30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F4D6-2A8F-4966-A074-F1D673ACDD29}">
  <sheetPr codeName="Hoja6"/>
  <dimension ref="A1:T313"/>
  <sheetViews>
    <sheetView workbookViewId="0">
      <selection activeCell="D22" sqref="D22"/>
    </sheetView>
  </sheetViews>
  <sheetFormatPr baseColWidth="10" defaultRowHeight="13.2"/>
  <cols>
    <col min="1" max="1" width="3.5546875" customWidth="1"/>
    <col min="4" max="6" width="11.5546875" bestFit="1" customWidth="1"/>
    <col min="7" max="7" width="12.109375" bestFit="1" customWidth="1"/>
  </cols>
  <sheetData>
    <row r="1" spans="1:15" ht="17.399999999999999">
      <c r="A1" s="274" t="s">
        <v>312</v>
      </c>
      <c r="H1" t="s">
        <v>536</v>
      </c>
    </row>
    <row r="3" spans="1:15" ht="16.8">
      <c r="A3" s="357" t="s">
        <v>361</v>
      </c>
    </row>
    <row r="5" spans="1:15" ht="15.6">
      <c r="A5" s="158" t="s">
        <v>323</v>
      </c>
    </row>
    <row r="7" spans="1:15">
      <c r="A7" s="7">
        <v>1</v>
      </c>
      <c r="B7" s="190" t="s">
        <v>313</v>
      </c>
    </row>
    <row r="8" spans="1:15">
      <c r="A8" s="7"/>
    </row>
    <row r="9" spans="1:15">
      <c r="A9" s="7"/>
      <c r="B9" s="7" t="s">
        <v>151</v>
      </c>
      <c r="C9" s="7" t="s">
        <v>316</v>
      </c>
      <c r="D9" s="7"/>
      <c r="E9" s="7"/>
      <c r="I9" s="7" t="s">
        <v>360</v>
      </c>
    </row>
    <row r="10" spans="1:15">
      <c r="A10" s="7"/>
      <c r="B10" s="278">
        <f>+'Bal Mat Fus'!C44</f>
        <v>7.4468402587962981</v>
      </c>
      <c r="C10" s="297">
        <f>+Carga!P50*22.4/Carga!O50</f>
        <v>12851.691189848083</v>
      </c>
      <c r="D10" s="7"/>
      <c r="E10" s="7"/>
      <c r="I10" s="347">
        <f>+B10*1000*C10/1000</f>
        <v>95704.491346178402</v>
      </c>
    </row>
    <row r="11" spans="1:15">
      <c r="A11" s="7"/>
    </row>
    <row r="12" spans="1:15">
      <c r="A12" s="7">
        <v>2</v>
      </c>
      <c r="B12" s="190" t="s">
        <v>317</v>
      </c>
    </row>
    <row r="14" spans="1:15">
      <c r="B14" s="7" t="s">
        <v>151</v>
      </c>
      <c r="C14" s="7" t="s">
        <v>379</v>
      </c>
      <c r="D14" s="7" t="s">
        <v>332</v>
      </c>
      <c r="E14" s="7"/>
      <c r="I14" s="7" t="s">
        <v>360</v>
      </c>
    </row>
    <row r="15" spans="1:15">
      <c r="B15" s="278">
        <f>+B10</f>
        <v>7.4468402587962981</v>
      </c>
      <c r="C15" s="635">
        <v>1700</v>
      </c>
      <c r="D15" s="635">
        <v>105</v>
      </c>
      <c r="E15" s="7"/>
      <c r="I15" s="347">
        <f>+C15/4.186*B15*(D15+273)/1000</f>
        <v>1143.1771500961543</v>
      </c>
      <c r="O15" s="219"/>
    </row>
    <row r="17" spans="1:20">
      <c r="A17" s="7">
        <v>3</v>
      </c>
      <c r="B17" s="190" t="s">
        <v>318</v>
      </c>
    </row>
    <row r="18" spans="1:20">
      <c r="A18" s="7"/>
      <c r="B18" s="190"/>
      <c r="L18" s="190"/>
    </row>
    <row r="19" spans="1:20">
      <c r="A19" s="7"/>
      <c r="B19" s="266" t="s">
        <v>333</v>
      </c>
      <c r="D19" s="330">
        <f>+Principal!G44</f>
        <v>1200</v>
      </c>
      <c r="E19" t="s">
        <v>334</v>
      </c>
      <c r="S19" s="360">
        <f>+D19+273</f>
        <v>1473</v>
      </c>
      <c r="T19" t="s">
        <v>365</v>
      </c>
    </row>
    <row r="20" spans="1:20">
      <c r="A20" s="7"/>
      <c r="B20" s="190"/>
      <c r="L20" s="183"/>
      <c r="M20" s="364"/>
      <c r="N20" s="365" t="s">
        <v>366</v>
      </c>
      <c r="O20" s="366" t="s">
        <v>367</v>
      </c>
      <c r="P20" s="1438" t="s">
        <v>368</v>
      </c>
      <c r="Q20" s="1438"/>
      <c r="R20" s="1439"/>
      <c r="S20" s="366" t="s">
        <v>369</v>
      </c>
      <c r="T20" s="183"/>
    </row>
    <row r="21" spans="1:20">
      <c r="C21" s="7" t="s">
        <v>151</v>
      </c>
      <c r="D21" s="7" t="s">
        <v>314</v>
      </c>
      <c r="E21" s="7" t="s">
        <v>315</v>
      </c>
      <c r="L21" s="260"/>
      <c r="M21" s="367" t="s">
        <v>370</v>
      </c>
      <c r="N21" s="368" t="s">
        <v>371</v>
      </c>
      <c r="O21" s="368" t="s">
        <v>372</v>
      </c>
      <c r="P21" s="369" t="s">
        <v>373</v>
      </c>
      <c r="Q21" s="367" t="s">
        <v>374</v>
      </c>
      <c r="R21" s="370" t="s">
        <v>375</v>
      </c>
      <c r="S21" s="371" t="s">
        <v>376</v>
      </c>
      <c r="T21" s="372" t="s">
        <v>220</v>
      </c>
    </row>
    <row r="22" spans="1:20">
      <c r="B22" s="183" t="s">
        <v>136</v>
      </c>
      <c r="C22" s="350">
        <f>+'Bal Mat Fus'!K25*(118.7+16)/118.7</f>
        <v>0.14860390562164447</v>
      </c>
      <c r="D22" s="348">
        <f>+T22*1000</f>
        <v>109958.97735708984</v>
      </c>
      <c r="E22" s="171">
        <f>+C22*D22</f>
        <v>16340.33349342552</v>
      </c>
      <c r="L22" s="183" t="s">
        <v>136</v>
      </c>
      <c r="M22" s="361">
        <f>118.7+16</f>
        <v>134.69999999999999</v>
      </c>
      <c r="N22" s="361">
        <v>298</v>
      </c>
      <c r="O22" s="348">
        <v>0</v>
      </c>
      <c r="P22" s="324">
        <v>9.4</v>
      </c>
      <c r="Q22" s="345">
        <v>3.62</v>
      </c>
      <c r="R22" s="350">
        <v>0</v>
      </c>
      <c r="S22" s="324">
        <f t="shared" ref="S22:S28" si="0">+(P22*($S$19-N22)+Q22*10^(-3)*($S$19^2-N22^2)/2-R22*10^5*($S$19^(-1)-N22^(-1)))+O22</f>
        <v>14811.474249999999</v>
      </c>
      <c r="T22" s="361">
        <f t="shared" ref="T22:T28" si="1">+S22/M22</f>
        <v>109.95897735708984</v>
      </c>
    </row>
    <row r="23" spans="1:20">
      <c r="B23" s="100" t="s">
        <v>134</v>
      </c>
      <c r="C23" s="351">
        <f>+'Bal Mat Fus'!K26*71.85/55.85</f>
        <v>2.2257460846121302</v>
      </c>
      <c r="D23" s="334">
        <f t="shared" ref="D23:D28" si="2">+T23*1000</f>
        <v>217147.92190915023</v>
      </c>
      <c r="E23" s="137">
        <f t="shared" ref="E23:E28" si="3">+C23*D23</f>
        <v>483316.13697095175</v>
      </c>
      <c r="L23" s="100" t="s">
        <v>134</v>
      </c>
      <c r="M23" s="362">
        <v>71.849999999999994</v>
      </c>
      <c r="N23" s="362">
        <v>298</v>
      </c>
      <c r="O23" s="334">
        <v>0</v>
      </c>
      <c r="P23" s="325">
        <v>11.66</v>
      </c>
      <c r="Q23" s="21">
        <v>2</v>
      </c>
      <c r="R23" s="351">
        <v>-0.67</v>
      </c>
      <c r="S23" s="325">
        <f t="shared" si="0"/>
        <v>15602.078189172442</v>
      </c>
      <c r="T23" s="362">
        <f t="shared" si="1"/>
        <v>217.14792190915023</v>
      </c>
    </row>
    <row r="24" spans="1:20">
      <c r="B24" s="100" t="s">
        <v>93</v>
      </c>
      <c r="C24" s="351">
        <f>+'Bal Mat Fus'!K27</f>
        <v>5.23809460944</v>
      </c>
      <c r="D24" s="334">
        <f t="shared" si="2"/>
        <v>312624.05674566526</v>
      </c>
      <c r="E24" s="137">
        <f t="shared" si="3"/>
        <v>1637554.386420734</v>
      </c>
      <c r="L24" s="100" t="s">
        <v>93</v>
      </c>
      <c r="M24" s="362">
        <v>60</v>
      </c>
      <c r="N24" s="362">
        <v>1079</v>
      </c>
      <c r="O24" s="334">
        <v>11992.9</v>
      </c>
      <c r="P24" s="325">
        <v>17.384</v>
      </c>
      <c r="Q24" s="21">
        <v>0.318</v>
      </c>
      <c r="R24" s="351">
        <v>-9.8680000000000003</v>
      </c>
      <c r="S24" s="325">
        <f t="shared" si="0"/>
        <v>18757.443404739915</v>
      </c>
      <c r="T24" s="362">
        <f t="shared" si="1"/>
        <v>312.62405674566526</v>
      </c>
    </row>
    <row r="25" spans="1:20">
      <c r="B25" s="100" t="s">
        <v>105</v>
      </c>
      <c r="C25" s="351">
        <f>+'Bal Mat Fus'!K28</f>
        <v>1.702380748068</v>
      </c>
      <c r="D25" s="334">
        <f t="shared" si="2"/>
        <v>318974.27156725276</v>
      </c>
      <c r="E25" s="137">
        <f t="shared" si="3"/>
        <v>543015.6590451051</v>
      </c>
      <c r="L25" s="100" t="s">
        <v>105</v>
      </c>
      <c r="M25" s="362">
        <f>27*2+16*3</f>
        <v>102</v>
      </c>
      <c r="N25" s="362">
        <v>298</v>
      </c>
      <c r="O25" s="334">
        <v>0</v>
      </c>
      <c r="P25" s="325">
        <v>25.48</v>
      </c>
      <c r="Q25" s="21">
        <v>4.25</v>
      </c>
      <c r="R25" s="351">
        <v>-6.82</v>
      </c>
      <c r="S25" s="325">
        <f t="shared" si="0"/>
        <v>32535.375699859778</v>
      </c>
      <c r="T25" s="362">
        <f t="shared" si="1"/>
        <v>318.97427156725274</v>
      </c>
    </row>
    <row r="26" spans="1:20">
      <c r="B26" s="100" t="s">
        <v>129</v>
      </c>
      <c r="C26" s="351">
        <f>+'Bal Mat Fus'!K29</f>
        <v>2.61904730472</v>
      </c>
      <c r="D26" s="334">
        <f t="shared" si="2"/>
        <v>260979.42321498544</v>
      </c>
      <c r="E26" s="137">
        <f t="shared" si="3"/>
        <v>683517.45495858777</v>
      </c>
      <c r="L26" s="100" t="s">
        <v>129</v>
      </c>
      <c r="M26" s="362">
        <v>56</v>
      </c>
      <c r="N26" s="362">
        <v>298</v>
      </c>
      <c r="O26" s="334">
        <v>0</v>
      </c>
      <c r="P26" s="325">
        <v>11.86</v>
      </c>
      <c r="Q26" s="21">
        <v>1.08</v>
      </c>
      <c r="R26" s="351">
        <v>-1.66</v>
      </c>
      <c r="S26" s="325">
        <f t="shared" si="0"/>
        <v>14614.847700039185</v>
      </c>
      <c r="T26" s="362">
        <f t="shared" si="1"/>
        <v>260.97942321498545</v>
      </c>
    </row>
    <row r="27" spans="1:20">
      <c r="B27" s="100" t="s">
        <v>131</v>
      </c>
      <c r="C27" s="351">
        <f>+'Bal Mat Fus'!K30</f>
        <v>0.45833327832600007</v>
      </c>
      <c r="D27" s="334">
        <f t="shared" si="2"/>
        <v>333679.44617524859</v>
      </c>
      <c r="E27" s="137">
        <f t="shared" si="3"/>
        <v>152936.39447550577</v>
      </c>
      <c r="L27" s="100" t="s">
        <v>131</v>
      </c>
      <c r="M27" s="362">
        <f>24.3+16</f>
        <v>40.299999999999997</v>
      </c>
      <c r="N27" s="362">
        <v>298</v>
      </c>
      <c r="O27" s="334">
        <v>0</v>
      </c>
      <c r="P27" s="325">
        <v>10.86</v>
      </c>
      <c r="Q27" s="21">
        <v>1.1970000000000001</v>
      </c>
      <c r="R27" s="351">
        <v>-2.0870000000000002</v>
      </c>
      <c r="S27" s="325">
        <f t="shared" si="0"/>
        <v>13447.281680862518</v>
      </c>
      <c r="T27" s="362">
        <f t="shared" si="1"/>
        <v>333.67944617524859</v>
      </c>
    </row>
    <row r="28" spans="1:20">
      <c r="B28" s="260" t="s">
        <v>103</v>
      </c>
      <c r="C28" s="352">
        <f>+'Bal Mat Fus'!K31-C22*16/(118.7+16)-C23*16/71.85</f>
        <v>0.70303059281222513</v>
      </c>
      <c r="D28" s="349">
        <f t="shared" si="2"/>
        <v>309759.19685971068</v>
      </c>
      <c r="E28" s="138">
        <f t="shared" si="3"/>
        <v>217770.19179732114</v>
      </c>
      <c r="I28" s="7" t="s">
        <v>360</v>
      </c>
      <c r="L28" s="260" t="s">
        <v>103</v>
      </c>
      <c r="M28" s="363">
        <f>+(M24*2+M25)/3</f>
        <v>74</v>
      </c>
      <c r="N28" s="363">
        <v>298</v>
      </c>
      <c r="O28" s="349">
        <v>0</v>
      </c>
      <c r="P28" s="363">
        <f>+(P24*2+P25)/3</f>
        <v>20.082666666666668</v>
      </c>
      <c r="Q28" s="363">
        <f>+(Q24*2+Q25)/3</f>
        <v>1.6286666666666667</v>
      </c>
      <c r="R28" s="363">
        <f>+(R24*2+R25)/3</f>
        <v>-8.8520000000000003</v>
      </c>
      <c r="S28" s="270">
        <f t="shared" si="0"/>
        <v>22922.18056761859</v>
      </c>
      <c r="T28" s="363">
        <f t="shared" si="1"/>
        <v>309.7591968597107</v>
      </c>
    </row>
    <row r="29" spans="1:20">
      <c r="C29" s="210">
        <f>SUM(C22:C28)</f>
        <v>13.095236523600001</v>
      </c>
      <c r="E29" s="267">
        <f>SUM(E22:E28)</f>
        <v>3734450.5571616315</v>
      </c>
      <c r="I29" s="347">
        <f>+E29/1000</f>
        <v>3734.4505571616314</v>
      </c>
    </row>
    <row r="30" spans="1:20">
      <c r="D30" s="210"/>
    </row>
    <row r="31" spans="1:20">
      <c r="A31" s="7">
        <v>4</v>
      </c>
      <c r="B31" s="190" t="s">
        <v>319</v>
      </c>
    </row>
    <row r="33" spans="1:20">
      <c r="B33" s="266" t="s">
        <v>333</v>
      </c>
      <c r="D33" s="620">
        <v>31</v>
      </c>
      <c r="E33" t="s">
        <v>334</v>
      </c>
      <c r="S33" s="360">
        <f>+D33+273</f>
        <v>304</v>
      </c>
      <c r="T33" t="s">
        <v>365</v>
      </c>
    </row>
    <row r="34" spans="1:20">
      <c r="L34" s="183"/>
      <c r="M34" s="364"/>
      <c r="N34" s="365" t="s">
        <v>366</v>
      </c>
      <c r="O34" s="366" t="s">
        <v>367</v>
      </c>
      <c r="P34" s="1438" t="s">
        <v>368</v>
      </c>
      <c r="Q34" s="1438"/>
      <c r="R34" s="1439"/>
      <c r="S34" s="366" t="s">
        <v>369</v>
      </c>
      <c r="T34" s="183"/>
    </row>
    <row r="35" spans="1:20">
      <c r="C35" s="7" t="s">
        <v>151</v>
      </c>
      <c r="D35" s="7" t="s">
        <v>314</v>
      </c>
      <c r="E35" s="7" t="s">
        <v>315</v>
      </c>
      <c r="L35" s="260"/>
      <c r="M35" s="367" t="s">
        <v>370</v>
      </c>
      <c r="N35" s="368" t="s">
        <v>371</v>
      </c>
      <c r="O35" s="368" t="s">
        <v>372</v>
      </c>
      <c r="P35" s="369" t="s">
        <v>373</v>
      </c>
      <c r="Q35" s="367" t="s">
        <v>374</v>
      </c>
      <c r="R35" s="370" t="s">
        <v>375</v>
      </c>
      <c r="S35" s="371" t="s">
        <v>376</v>
      </c>
      <c r="T35" s="372" t="s">
        <v>220</v>
      </c>
    </row>
    <row r="36" spans="1:20">
      <c r="B36" s="183" t="s">
        <v>245</v>
      </c>
      <c r="C36" s="374">
        <f>+'Bal Mat Fus'!D47+'Bal Mat Fus'!F47+'Bal Mat Fus'!I248*'Bal Mat Fus'!D247/'Bal Mat Fus'!D249*'Bal Mat Fus'!L109</f>
        <v>11.161554726863965</v>
      </c>
      <c r="D36" s="348">
        <f>+T36*1000</f>
        <v>1316.1487327799362</v>
      </c>
      <c r="E36" s="171">
        <f>+C36*D36</f>
        <v>14690.266109615914</v>
      </c>
      <c r="L36" s="183" t="s">
        <v>245</v>
      </c>
      <c r="M36" s="361">
        <v>32</v>
      </c>
      <c r="N36" s="361">
        <v>298</v>
      </c>
      <c r="O36" s="348">
        <v>0</v>
      </c>
      <c r="P36" s="324">
        <v>7.16</v>
      </c>
      <c r="Q36" s="345">
        <v>1</v>
      </c>
      <c r="R36" s="350">
        <v>-0.4</v>
      </c>
      <c r="S36" s="324">
        <f>+(P36*($S$33-N36)+Q36*10^(-3)*($S$33^2-N36^2)/2-R36*10^5*($S$33^(-1)-N36^(-1)))+O36</f>
        <v>42.116759448957957</v>
      </c>
      <c r="T36" s="171">
        <f>+S36/M36</f>
        <v>1.3161487327799362</v>
      </c>
    </row>
    <row r="37" spans="1:20">
      <c r="B37" s="100" t="s">
        <v>219</v>
      </c>
      <c r="C37" s="375">
        <f>+'Bal Mat Fus'!D48+'Bal Mat Fus'!F48+'Bal Mat Fus'!I249*'Bal Mat Fus'!D247/'Bal Mat Fus'!D249*'Bal Mat Fus'!L109</f>
        <v>36.740117642593887</v>
      </c>
      <c r="D37" s="334">
        <f>+T37*1000</f>
        <v>1492.9328571428573</v>
      </c>
      <c r="E37" s="137">
        <f>+C37*D37</f>
        <v>54850.528803922389</v>
      </c>
      <c r="L37" s="100" t="s">
        <v>219</v>
      </c>
      <c r="M37" s="362">
        <v>28</v>
      </c>
      <c r="N37" s="362">
        <v>298</v>
      </c>
      <c r="O37" s="334">
        <v>0</v>
      </c>
      <c r="P37" s="325">
        <v>6.66</v>
      </c>
      <c r="Q37" s="21">
        <v>1.02</v>
      </c>
      <c r="R37" s="351">
        <v>0</v>
      </c>
      <c r="S37" s="325">
        <f>+(P37*($S$33-N37)+Q37*10^(-3)*($S$33^2-N37^2)/2-R37*10^5*($S$33^(-1)-N37^(-1)))+O37</f>
        <v>41.802120000000002</v>
      </c>
      <c r="T37" s="137">
        <f>+S37/M37</f>
        <v>1.4929328571428573</v>
      </c>
    </row>
    <row r="38" spans="1:20">
      <c r="B38" s="260" t="s">
        <v>150</v>
      </c>
      <c r="C38" s="373">
        <f>+'Bal Mat Fus'!D52+'Bal Mat Fus'!F52+'Bal Mat Fus'!I250*'Bal Mat Fus'!D247/'Bal Mat Fus'!D249*'Bal Mat Fus'!L109</f>
        <v>0</v>
      </c>
      <c r="D38" s="349">
        <f>+T38*1000</f>
        <v>61227.88203753352</v>
      </c>
      <c r="E38" s="138">
        <f>+C38*D38</f>
        <v>0</v>
      </c>
      <c r="I38" s="7" t="s">
        <v>360</v>
      </c>
      <c r="L38" s="260" t="s">
        <v>150</v>
      </c>
      <c r="M38" s="363">
        <v>18</v>
      </c>
      <c r="N38" s="363">
        <v>373</v>
      </c>
      <c r="O38" s="349">
        <v>1352.25</v>
      </c>
      <c r="P38" s="270"/>
      <c r="Q38" s="346"/>
      <c r="R38" s="352"/>
      <c r="S38" s="270">
        <f>+O38*S33/N38</f>
        <v>1102.1018766756033</v>
      </c>
      <c r="T38" s="138">
        <f>+S38/M38</f>
        <v>61.227882037533519</v>
      </c>
    </row>
    <row r="39" spans="1:20">
      <c r="C39" s="267">
        <f>+SUM(C36:C38)</f>
        <v>47.901672369457856</v>
      </c>
      <c r="D39" s="267"/>
      <c r="E39" s="267">
        <f>+SUM(E36:E38)</f>
        <v>69540.794913538295</v>
      </c>
      <c r="I39" s="347">
        <f>+E39/1000</f>
        <v>69.540794913538292</v>
      </c>
      <c r="L39" s="3"/>
      <c r="M39" s="334"/>
      <c r="N39" s="334"/>
      <c r="O39" s="334"/>
      <c r="P39" s="21"/>
      <c r="Q39" s="21"/>
      <c r="R39" s="21"/>
      <c r="S39" s="21"/>
      <c r="T39" s="334"/>
    </row>
    <row r="40" spans="1:20">
      <c r="L40" s="3"/>
      <c r="M40" s="334"/>
      <c r="N40" s="334"/>
      <c r="O40" s="334"/>
      <c r="P40" s="21"/>
      <c r="Q40" s="21"/>
      <c r="R40" s="21"/>
      <c r="S40" s="21"/>
      <c r="T40" s="334"/>
    </row>
    <row r="41" spans="1:20">
      <c r="A41" s="7">
        <v>5</v>
      </c>
      <c r="B41" s="190" t="s">
        <v>320</v>
      </c>
      <c r="L41" s="3"/>
      <c r="M41" s="334"/>
      <c r="N41" s="334"/>
      <c r="O41" s="334"/>
      <c r="P41" s="21"/>
      <c r="Q41" s="21"/>
      <c r="R41" s="21"/>
      <c r="S41" s="21"/>
      <c r="T41" s="334"/>
    </row>
    <row r="42" spans="1:20">
      <c r="L42" s="3"/>
      <c r="M42" s="334"/>
      <c r="N42" s="334"/>
      <c r="O42" s="334"/>
      <c r="P42" s="334"/>
      <c r="Q42" s="334"/>
      <c r="R42" s="334"/>
      <c r="S42" s="21"/>
      <c r="T42" s="334"/>
    </row>
    <row r="43" spans="1:20">
      <c r="B43" s="266" t="s">
        <v>333</v>
      </c>
      <c r="D43" s="620">
        <v>27</v>
      </c>
      <c r="E43" t="s">
        <v>334</v>
      </c>
      <c r="S43" s="360">
        <f>+D43+273</f>
        <v>300</v>
      </c>
      <c r="T43" t="s">
        <v>365</v>
      </c>
    </row>
    <row r="44" spans="1:20">
      <c r="L44" s="183"/>
      <c r="M44" s="364"/>
      <c r="N44" s="365" t="s">
        <v>366</v>
      </c>
      <c r="O44" s="366" t="s">
        <v>367</v>
      </c>
      <c r="P44" s="1438" t="s">
        <v>368</v>
      </c>
      <c r="Q44" s="1438"/>
      <c r="R44" s="1439"/>
      <c r="S44" s="366" t="s">
        <v>369</v>
      </c>
      <c r="T44" s="183"/>
    </row>
    <row r="45" spans="1:20">
      <c r="C45" s="7" t="s">
        <v>151</v>
      </c>
      <c r="D45" s="7" t="s">
        <v>314</v>
      </c>
      <c r="E45" s="7" t="s">
        <v>315</v>
      </c>
      <c r="L45" s="260"/>
      <c r="M45" s="367" t="s">
        <v>370</v>
      </c>
      <c r="N45" s="368" t="s">
        <v>371</v>
      </c>
      <c r="O45" s="368" t="s">
        <v>372</v>
      </c>
      <c r="P45" s="369" t="s">
        <v>373</v>
      </c>
      <c r="Q45" s="367" t="s">
        <v>374</v>
      </c>
      <c r="R45" s="370" t="s">
        <v>375</v>
      </c>
      <c r="S45" s="371" t="s">
        <v>376</v>
      </c>
      <c r="T45" s="372" t="s">
        <v>220</v>
      </c>
    </row>
    <row r="46" spans="1:20">
      <c r="B46" s="183" t="s">
        <v>245</v>
      </c>
      <c r="C46" s="374">
        <f>+'Bal Mat Fus'!E47</f>
        <v>20.46685903069303</v>
      </c>
      <c r="D46" s="348">
        <f>+T46*1000</f>
        <v>438.2232941834456</v>
      </c>
      <c r="E46" s="171">
        <f>+C46*D46</f>
        <v>8969.0543860185026</v>
      </c>
      <c r="L46" s="183" t="s">
        <v>245</v>
      </c>
      <c r="M46" s="361">
        <v>32</v>
      </c>
      <c r="N46" s="361">
        <v>298</v>
      </c>
      <c r="O46" s="348">
        <v>0</v>
      </c>
      <c r="P46" s="324">
        <v>7.16</v>
      </c>
      <c r="Q46" s="345">
        <v>1</v>
      </c>
      <c r="R46" s="350">
        <v>-0.4</v>
      </c>
      <c r="S46" s="324">
        <f>+(P46*($S$43-N46)+Q46*10^(-3)*($S$43^2-N46^2)/2-R46*10^5*($S$43^(-1)-N46^(-1)))+O46</f>
        <v>14.023145413870258</v>
      </c>
      <c r="T46" s="171">
        <f>+S46/M46</f>
        <v>0.43822329418344558</v>
      </c>
    </row>
    <row r="47" spans="1:20">
      <c r="B47" s="100" t="s">
        <v>219</v>
      </c>
      <c r="C47" s="375">
        <f>+'Bal Mat Fus'!E48</f>
        <v>0.36547962554809021</v>
      </c>
      <c r="D47" s="334">
        <f>+T47*1000</f>
        <v>497.49857142857144</v>
      </c>
      <c r="E47" s="137">
        <f>+C47*D47</f>
        <v>181.82559159642409</v>
      </c>
      <c r="L47" s="100" t="s">
        <v>219</v>
      </c>
      <c r="M47" s="362">
        <v>28</v>
      </c>
      <c r="N47" s="362">
        <v>298</v>
      </c>
      <c r="O47" s="334">
        <v>0</v>
      </c>
      <c r="P47" s="325">
        <v>6.66</v>
      </c>
      <c r="Q47" s="21">
        <v>1.02</v>
      </c>
      <c r="R47" s="351">
        <v>0</v>
      </c>
      <c r="S47" s="325">
        <f>+(P47*($S$43-N47)+Q47*10^(-3)*($S$43^2-N47^2)/2-R47*10^5*($S$43^(-1)-N47^(-1)))+O47</f>
        <v>13.929960000000001</v>
      </c>
      <c r="T47" s="137">
        <f>+S47/M47</f>
        <v>0.49749857142857146</v>
      </c>
    </row>
    <row r="48" spans="1:20">
      <c r="B48" s="260" t="s">
        <v>150</v>
      </c>
      <c r="C48" s="373">
        <f>+'Bal Mat Fus'!E52</f>
        <v>0</v>
      </c>
      <c r="D48" s="349">
        <f>+T48*1000</f>
        <v>60422.25201072386</v>
      </c>
      <c r="E48" s="138">
        <f>+C48*D48</f>
        <v>0</v>
      </c>
      <c r="I48" s="7" t="s">
        <v>360</v>
      </c>
      <c r="L48" s="260" t="s">
        <v>150</v>
      </c>
      <c r="M48" s="363">
        <v>18</v>
      </c>
      <c r="N48" s="363">
        <v>373</v>
      </c>
      <c r="O48" s="349">
        <v>1352.25</v>
      </c>
      <c r="P48" s="270"/>
      <c r="Q48" s="346"/>
      <c r="R48" s="352"/>
      <c r="S48" s="270">
        <f>+O48*S43/N48</f>
        <v>1087.6005361930295</v>
      </c>
      <c r="T48" s="138">
        <f>+S48/M48</f>
        <v>60.422252010723859</v>
      </c>
    </row>
    <row r="49" spans="1:17">
      <c r="C49" s="267">
        <f>+SUM(C46:C48)</f>
        <v>20.83233865624112</v>
      </c>
      <c r="D49" s="267"/>
      <c r="E49" s="267">
        <f>+SUM(E46:E48)</f>
        <v>9150.8799776149262</v>
      </c>
      <c r="I49" s="347">
        <f>+E49/1000</f>
        <v>9.1508799776149257</v>
      </c>
    </row>
    <row r="51" spans="1:17">
      <c r="A51" s="7">
        <v>6</v>
      </c>
      <c r="B51" s="190" t="s">
        <v>383</v>
      </c>
    </row>
    <row r="53" spans="1:17">
      <c r="B53" t="s">
        <v>350</v>
      </c>
    </row>
    <row r="54" spans="1:17">
      <c r="E54" s="7" t="s">
        <v>349</v>
      </c>
      <c r="F54" s="7" t="s">
        <v>314</v>
      </c>
      <c r="G54" s="7" t="s">
        <v>315</v>
      </c>
      <c r="L54" s="378"/>
      <c r="M54" s="379"/>
      <c r="N54" s="380"/>
      <c r="O54" s="269" t="s">
        <v>380</v>
      </c>
      <c r="P54" s="269" t="s">
        <v>381</v>
      </c>
      <c r="Q54" s="241" t="s">
        <v>382</v>
      </c>
    </row>
    <row r="55" spans="1:17">
      <c r="B55" s="152" t="s">
        <v>344</v>
      </c>
      <c r="C55" s="179"/>
      <c r="D55" s="202"/>
      <c r="E55" s="350">
        <f>+'Bal Mat Fus'!B100</f>
        <v>0</v>
      </c>
      <c r="F55" s="348">
        <f t="shared" ref="F55:F61" si="4">+-Q55*1000</f>
        <v>40251.572327044028</v>
      </c>
      <c r="G55" s="171">
        <f t="shared" ref="G55:G61" si="5">+E55*F55</f>
        <v>0</v>
      </c>
      <c r="L55" s="152" t="s">
        <v>344</v>
      </c>
      <c r="M55" s="179"/>
      <c r="N55" s="202"/>
      <c r="O55" s="383">
        <v>-6.4</v>
      </c>
      <c r="P55" s="179">
        <f>63.5*2+32</f>
        <v>159</v>
      </c>
      <c r="Q55" s="171">
        <f t="shared" ref="Q55:Q61" si="6">+O55/P55*1000</f>
        <v>-40.25157232704403</v>
      </c>
    </row>
    <row r="56" spans="1:17">
      <c r="B56" s="135" t="s">
        <v>345</v>
      </c>
      <c r="C56" s="3"/>
      <c r="D56" s="184"/>
      <c r="E56" s="351">
        <f>+'Bal Mat Fus'!B103</f>
        <v>0.11115803057161382</v>
      </c>
      <c r="F56" s="334">
        <f t="shared" si="4"/>
        <v>806250</v>
      </c>
      <c r="G56" s="137">
        <f t="shared" si="5"/>
        <v>89621.162148363641</v>
      </c>
      <c r="L56" s="135" t="s">
        <v>345</v>
      </c>
      <c r="M56" s="3"/>
      <c r="N56" s="184"/>
      <c r="O56" s="381">
        <v>-25.8</v>
      </c>
      <c r="P56" s="3">
        <v>32</v>
      </c>
      <c r="Q56" s="137">
        <f t="shared" si="6"/>
        <v>-806.25</v>
      </c>
    </row>
    <row r="57" spans="1:17">
      <c r="B57" s="135" t="s">
        <v>398</v>
      </c>
      <c r="C57" s="3"/>
      <c r="D57" s="184"/>
      <c r="E57" s="390">
        <f>+'Bal Mat Fus'!D108</f>
        <v>0</v>
      </c>
      <c r="F57" s="334">
        <f t="shared" si="4"/>
        <v>11375100</v>
      </c>
      <c r="G57" s="137">
        <f t="shared" si="5"/>
        <v>0</v>
      </c>
      <c r="L57" s="135" t="s">
        <v>398</v>
      </c>
      <c r="M57" s="3"/>
      <c r="N57" s="184"/>
      <c r="O57" s="381">
        <v>-341.25299999999999</v>
      </c>
      <c r="P57" s="3">
        <v>30</v>
      </c>
      <c r="Q57" s="137">
        <f t="shared" si="6"/>
        <v>-11375.1</v>
      </c>
    </row>
    <row r="58" spans="1:17">
      <c r="B58" s="135" t="s">
        <v>528</v>
      </c>
      <c r="C58" s="3"/>
      <c r="D58" s="184"/>
      <c r="E58" s="390">
        <f>+'Bal Mat Fus'!D67</f>
        <v>0.41141415842076701</v>
      </c>
      <c r="F58" s="334">
        <f t="shared" si="4"/>
        <v>1164189.7940913159</v>
      </c>
      <c r="G58" s="137">
        <f t="shared" si="5"/>
        <v>478964.16437812475</v>
      </c>
      <c r="L58" s="135" t="s">
        <v>528</v>
      </c>
      <c r="M58" s="3"/>
      <c r="N58" s="184"/>
      <c r="O58" s="381">
        <v>-65.02</v>
      </c>
      <c r="P58" s="3">
        <v>55.85</v>
      </c>
      <c r="Q58" s="137">
        <f t="shared" si="6"/>
        <v>-1164.1897940913159</v>
      </c>
    </row>
    <row r="59" spans="1:17">
      <c r="B59" s="135" t="s">
        <v>529</v>
      </c>
      <c r="C59" s="3"/>
      <c r="D59" s="184"/>
      <c r="E59" s="390">
        <f>+'Bal Mat Fus'!D70</f>
        <v>0</v>
      </c>
      <c r="F59" s="334">
        <f t="shared" si="4"/>
        <v>575408.59309182817</v>
      </c>
      <c r="G59" s="137">
        <f t="shared" si="5"/>
        <v>0</v>
      </c>
      <c r="L59" s="135" t="s">
        <v>529</v>
      </c>
      <c r="M59" s="3"/>
      <c r="N59" s="184"/>
      <c r="O59" s="381">
        <v>-68.301000000000002</v>
      </c>
      <c r="P59" s="665">
        <v>118.7</v>
      </c>
      <c r="Q59" s="137">
        <f t="shared" si="6"/>
        <v>-575.40859309182815</v>
      </c>
    </row>
    <row r="60" spans="1:17">
      <c r="B60" s="135" t="s">
        <v>352</v>
      </c>
      <c r="C60" s="3"/>
      <c r="D60" s="184"/>
      <c r="E60" s="351">
        <f>+'Bal Mat Fus'!D111</f>
        <v>5.1319529220605267</v>
      </c>
      <c r="F60" s="334">
        <f t="shared" si="4"/>
        <v>2416428.5714285714</v>
      </c>
      <c r="G60" s="137">
        <f t="shared" si="5"/>
        <v>12400997.6680934</v>
      </c>
      <c r="L60" s="135" t="s">
        <v>352</v>
      </c>
      <c r="M60" s="3"/>
      <c r="N60" s="184"/>
      <c r="O60" s="384">
        <v>-67.66</v>
      </c>
      <c r="P60" s="3">
        <v>28</v>
      </c>
      <c r="Q60" s="137">
        <f t="shared" si="6"/>
        <v>-2416.4285714285716</v>
      </c>
    </row>
    <row r="61" spans="1:17">
      <c r="B61" s="136" t="s">
        <v>351</v>
      </c>
      <c r="C61" s="182"/>
      <c r="D61" s="185"/>
      <c r="E61" s="352">
        <f>+'Bal Mat Fus'!D114</f>
        <v>0</v>
      </c>
      <c r="F61" s="349">
        <f t="shared" si="4"/>
        <v>2201666.6666666665</v>
      </c>
      <c r="G61" s="138">
        <f t="shared" si="5"/>
        <v>0</v>
      </c>
      <c r="I61" s="7"/>
      <c r="L61" s="136" t="s">
        <v>351</v>
      </c>
      <c r="M61" s="182"/>
      <c r="N61" s="185"/>
      <c r="O61" s="382">
        <v>-26.42</v>
      </c>
      <c r="P61" s="182">
        <v>12</v>
      </c>
      <c r="Q61" s="138">
        <f t="shared" si="6"/>
        <v>-2201.6666666666665</v>
      </c>
    </row>
    <row r="62" spans="1:17">
      <c r="B62" s="152" t="s">
        <v>346</v>
      </c>
      <c r="C62" s="179"/>
      <c r="D62" s="202"/>
      <c r="E62" s="350">
        <f>+'Bal Mat Fus'!K119</f>
        <v>0</v>
      </c>
      <c r="F62" s="348">
        <f>+-Q62*1000</f>
        <v>522568.67112100974</v>
      </c>
      <c r="G62" s="171">
        <f>+E62*F62</f>
        <v>0</v>
      </c>
      <c r="H62" t="s">
        <v>391</v>
      </c>
      <c r="L62" s="135" t="s">
        <v>346</v>
      </c>
      <c r="M62" s="3"/>
      <c r="N62" s="184"/>
      <c r="O62" s="381">
        <v>-70.39</v>
      </c>
      <c r="P62" s="3">
        <f>118.7+16</f>
        <v>134.69999999999999</v>
      </c>
      <c r="Q62" s="137">
        <f>+O62/P62*1000</f>
        <v>-522.56867112100974</v>
      </c>
    </row>
    <row r="63" spans="1:17">
      <c r="B63" s="135" t="s">
        <v>347</v>
      </c>
      <c r="C63" s="3"/>
      <c r="D63" s="184"/>
      <c r="E63" s="351">
        <f>+'Bal Mat Fus'!K122</f>
        <v>0</v>
      </c>
      <c r="F63" s="334">
        <f>+-Q63*1000</f>
        <v>1219847.3788984739</v>
      </c>
      <c r="G63" s="137">
        <f>+E63*F63</f>
        <v>0</v>
      </c>
      <c r="H63" t="s">
        <v>391</v>
      </c>
      <c r="L63" s="135" t="s">
        <v>347</v>
      </c>
      <c r="M63" s="3"/>
      <c r="N63" s="184"/>
      <c r="O63" s="381">
        <v>-183.83099999999999</v>
      </c>
      <c r="P63" s="3">
        <f>118.7+32</f>
        <v>150.69999999999999</v>
      </c>
      <c r="Q63" s="137">
        <f>+O63/P63*1000</f>
        <v>-1219.8473788984738</v>
      </c>
    </row>
    <row r="64" spans="1:17">
      <c r="B64" s="135" t="s">
        <v>352</v>
      </c>
      <c r="C64" s="3"/>
      <c r="D64" s="184"/>
      <c r="E64" s="351">
        <f>+'Bal Mat Fus'!M125</f>
        <v>0</v>
      </c>
      <c r="F64" s="334">
        <f>+-Q64*1000</f>
        <v>2415357.1428571427</v>
      </c>
      <c r="G64" s="137">
        <f>+E64*F64</f>
        <v>0</v>
      </c>
      <c r="L64" s="135" t="s">
        <v>352</v>
      </c>
      <c r="M64" s="3"/>
      <c r="N64" s="184"/>
      <c r="O64" s="381">
        <v>-67.63</v>
      </c>
      <c r="P64" s="3">
        <f>12+16</f>
        <v>28</v>
      </c>
      <c r="Q64" s="137">
        <f>+O64/P64*1000</f>
        <v>-2415.3571428571427</v>
      </c>
    </row>
    <row r="65" spans="1:20">
      <c r="B65" s="135" t="s">
        <v>348</v>
      </c>
      <c r="C65" s="3"/>
      <c r="D65" s="184"/>
      <c r="E65" s="351">
        <f>+'Bal Mat Fus'!K128</f>
        <v>0</v>
      </c>
      <c r="F65" s="334">
        <f>+-Q65*1000</f>
        <v>2697125</v>
      </c>
      <c r="G65" s="137">
        <f>+E65*F65</f>
        <v>0</v>
      </c>
      <c r="L65" s="135" t="s">
        <v>348</v>
      </c>
      <c r="M65" s="3"/>
      <c r="N65" s="184"/>
      <c r="O65" s="381">
        <v>-86.308000000000007</v>
      </c>
      <c r="P65" s="3">
        <v>32</v>
      </c>
      <c r="Q65" s="137">
        <f>+O65/P65*1000</f>
        <v>-2697.125</v>
      </c>
    </row>
    <row r="66" spans="1:20">
      <c r="B66" s="136" t="s">
        <v>396</v>
      </c>
      <c r="C66" s="182"/>
      <c r="D66" s="185"/>
      <c r="E66" s="352">
        <f>+'Bal Mat Fus'!K131</f>
        <v>0</v>
      </c>
      <c r="F66" s="349">
        <f>+-Q66*1000</f>
        <v>11375100</v>
      </c>
      <c r="G66" s="138">
        <f>+E66*F66</f>
        <v>0</v>
      </c>
      <c r="I66" s="7" t="s">
        <v>360</v>
      </c>
      <c r="L66" s="136" t="s">
        <v>396</v>
      </c>
      <c r="M66" s="182"/>
      <c r="N66" s="185"/>
      <c r="O66" s="382">
        <v>-341.25299999999999</v>
      </c>
      <c r="P66" s="182">
        <f>24+6</f>
        <v>30</v>
      </c>
      <c r="Q66" s="138">
        <f>+O66/P66*1000</f>
        <v>-11375.1</v>
      </c>
    </row>
    <row r="67" spans="1:20">
      <c r="F67" s="267"/>
      <c r="G67" s="356">
        <f>SUM(G55:G66)</f>
        <v>12969582.994619889</v>
      </c>
      <c r="I67" s="347">
        <f>+G67/1000</f>
        <v>12969.58299461989</v>
      </c>
    </row>
    <row r="69" spans="1:20">
      <c r="I69" s="7" t="s">
        <v>360</v>
      </c>
    </row>
    <row r="70" spans="1:20">
      <c r="B70" s="392" t="s">
        <v>353</v>
      </c>
      <c r="C70" s="393"/>
      <c r="D70" s="393"/>
      <c r="E70" s="393"/>
      <c r="F70" s="393"/>
      <c r="G70" s="393"/>
      <c r="H70" s="394"/>
      <c r="I70" s="355">
        <f>+I10+I15+I29+I39+I49+I67</f>
        <v>113630.39372294724</v>
      </c>
    </row>
    <row r="73" spans="1:20" ht="15.6">
      <c r="A73" s="158" t="s">
        <v>324</v>
      </c>
    </row>
    <row r="74" spans="1:20">
      <c r="A74" s="7"/>
    </row>
    <row r="75" spans="1:20">
      <c r="A75" s="7">
        <v>1</v>
      </c>
      <c r="B75" s="190" t="s">
        <v>325</v>
      </c>
    </row>
    <row r="77" spans="1:20">
      <c r="B77" s="266" t="s">
        <v>333</v>
      </c>
      <c r="D77" s="330">
        <f>+D91-0</f>
        <v>984.8443320281774</v>
      </c>
      <c r="E77" t="s">
        <v>334</v>
      </c>
      <c r="S77" s="360">
        <f>+D77+273</f>
        <v>1257.8443320281774</v>
      </c>
      <c r="T77" t="s">
        <v>365</v>
      </c>
    </row>
    <row r="78" spans="1:20">
      <c r="B78" s="266"/>
      <c r="D78" s="353"/>
      <c r="J78" s="7"/>
      <c r="L78" s="183"/>
      <c r="M78" s="364"/>
      <c r="N78" s="365" t="s">
        <v>366</v>
      </c>
      <c r="O78" s="366" t="s">
        <v>367</v>
      </c>
      <c r="P78" s="1438" t="s">
        <v>368</v>
      </c>
      <c r="Q78" s="1438"/>
      <c r="R78" s="1439"/>
      <c r="S78" s="366" t="s">
        <v>369</v>
      </c>
      <c r="T78" s="183"/>
    </row>
    <row r="79" spans="1:20">
      <c r="C79" s="7" t="s">
        <v>151</v>
      </c>
      <c r="D79" s="7" t="s">
        <v>314</v>
      </c>
      <c r="E79" s="7" t="s">
        <v>315</v>
      </c>
      <c r="J79" s="7"/>
      <c r="L79" s="260"/>
      <c r="M79" s="367" t="s">
        <v>370</v>
      </c>
      <c r="N79" s="368" t="s">
        <v>371</v>
      </c>
      <c r="O79" s="368" t="s">
        <v>372</v>
      </c>
      <c r="P79" s="369" t="s">
        <v>373</v>
      </c>
      <c r="Q79" s="367" t="s">
        <v>374</v>
      </c>
      <c r="R79" s="370" t="s">
        <v>375</v>
      </c>
      <c r="S79" s="371" t="s">
        <v>376</v>
      </c>
      <c r="T79" s="372" t="s">
        <v>220</v>
      </c>
    </row>
    <row r="80" spans="1:20">
      <c r="B80" s="183" t="s">
        <v>7</v>
      </c>
      <c r="C80" s="350">
        <f ca="1">+'Bal Mat Fus'!C190</f>
        <v>25.885635109408316</v>
      </c>
      <c r="D80" s="348">
        <f>+T80*1000</f>
        <v>53369.609025998063</v>
      </c>
      <c r="E80" s="171">
        <f ca="1">+C80*D80</f>
        <v>1381506.2251787705</v>
      </c>
      <c r="J80" s="7"/>
      <c r="L80" s="183" t="s">
        <v>7</v>
      </c>
      <c r="M80" s="361">
        <v>118.7</v>
      </c>
      <c r="N80" s="361">
        <v>298</v>
      </c>
      <c r="O80" s="348">
        <v>0</v>
      </c>
      <c r="P80" s="324">
        <v>6.6</v>
      </c>
      <c r="Q80" s="345">
        <v>0</v>
      </c>
      <c r="R80" s="350">
        <v>0</v>
      </c>
      <c r="S80" s="324">
        <f>+(P80*($S$77-N80)+Q80*10^(-3)*($S$77^2-N80^2)/2-R80*10^5*($S$77^(-1)-N80^(-1)))+O80</f>
        <v>6334.9725913859702</v>
      </c>
      <c r="T80" s="171">
        <f t="shared" ref="T80:T86" si="7">+S80/M80</f>
        <v>53.369609025998059</v>
      </c>
    </row>
    <row r="81" spans="1:20">
      <c r="B81" s="100" t="s">
        <v>10</v>
      </c>
      <c r="C81" s="351">
        <f>+'Bal Mat Fus'!C191</f>
        <v>0.28819797735038094</v>
      </c>
      <c r="D81" s="334">
        <f t="shared" ref="D81:D86" si="8">+T81*1000</f>
        <v>140066.80941861498</v>
      </c>
      <c r="E81" s="137">
        <f t="shared" ref="E81:E86" si="9">+C81*D81</f>
        <v>40366.971168366123</v>
      </c>
      <c r="J81" s="7"/>
      <c r="L81" s="100" t="s">
        <v>10</v>
      </c>
      <c r="M81" s="362">
        <v>55.85</v>
      </c>
      <c r="N81" s="362">
        <v>298</v>
      </c>
      <c r="O81" s="334">
        <v>0</v>
      </c>
      <c r="P81" s="325">
        <v>8.15</v>
      </c>
      <c r="Q81" s="21">
        <v>0</v>
      </c>
      <c r="R81" s="351">
        <v>0</v>
      </c>
      <c r="S81" s="325">
        <f t="shared" ref="S81:S86" si="10">+(P81*($S$77-N81)+Q81*10^(-3)*($S$77^2-N81^2)/2-R81*10^5*($S$77^(-1)-N81^(-1)))+O81</f>
        <v>7822.7313060296465</v>
      </c>
      <c r="T81" s="137">
        <f t="shared" si="7"/>
        <v>140.06680941861498</v>
      </c>
    </row>
    <row r="82" spans="1:20">
      <c r="B82" s="100" t="s">
        <v>6</v>
      </c>
      <c r="C82" s="351">
        <f>+'Bal Mat Fus'!C192</f>
        <v>1.6631051852590662E-2</v>
      </c>
      <c r="D82" s="334">
        <f t="shared" si="8"/>
        <v>31500.682711349451</v>
      </c>
      <c r="E82" s="137">
        <f t="shared" si="9"/>
        <v>523.88948756445893</v>
      </c>
      <c r="L82" s="100" t="s">
        <v>6</v>
      </c>
      <c r="M82" s="362">
        <v>207.2</v>
      </c>
      <c r="N82" s="362">
        <v>298</v>
      </c>
      <c r="O82" s="334">
        <v>0</v>
      </c>
      <c r="P82" s="325">
        <v>6.8</v>
      </c>
      <c r="Q82" s="21">
        <v>0</v>
      </c>
      <c r="R82" s="351">
        <v>0</v>
      </c>
      <c r="S82" s="325">
        <f t="shared" si="10"/>
        <v>6526.9414577916059</v>
      </c>
      <c r="T82" s="137">
        <f t="shared" si="7"/>
        <v>31.500682711349452</v>
      </c>
    </row>
    <row r="83" spans="1:20">
      <c r="B83" s="100" t="s">
        <v>8</v>
      </c>
      <c r="C83" s="351">
        <f>+'Bal Mat Fus'!C193</f>
        <v>1.0216304058657477E-2</v>
      </c>
      <c r="D83" s="334">
        <f t="shared" si="8"/>
        <v>56345.541658468544</v>
      </c>
      <c r="E83" s="137">
        <f t="shared" si="9"/>
        <v>575.64318593266614</v>
      </c>
      <c r="L83" s="100" t="s">
        <v>8</v>
      </c>
      <c r="M83" s="362">
        <v>121.8</v>
      </c>
      <c r="N83" s="362">
        <v>298</v>
      </c>
      <c r="O83" s="334">
        <v>0</v>
      </c>
      <c r="P83" s="325">
        <v>7.15</v>
      </c>
      <c r="Q83" s="21">
        <v>0</v>
      </c>
      <c r="R83" s="351">
        <v>0</v>
      </c>
      <c r="S83" s="325">
        <f t="shared" si="10"/>
        <v>6862.8869740014688</v>
      </c>
      <c r="T83" s="137">
        <f t="shared" si="7"/>
        <v>56.345541658468548</v>
      </c>
    </row>
    <row r="84" spans="1:20">
      <c r="B84" s="100" t="s">
        <v>9</v>
      </c>
      <c r="C84" s="351">
        <f>+'Bal Mat Fus'!C194</f>
        <v>7.9512293260490544E-2</v>
      </c>
      <c r="D84" s="334">
        <f t="shared" si="8"/>
        <v>89581.257436791828</v>
      </c>
      <c r="E84" s="137">
        <f t="shared" si="9"/>
        <v>7122.8112119576908</v>
      </c>
      <c r="L84" s="100" t="s">
        <v>9</v>
      </c>
      <c r="M84" s="362">
        <v>74.900000000000006</v>
      </c>
      <c r="N84" s="362">
        <v>298</v>
      </c>
      <c r="O84" s="334">
        <v>0</v>
      </c>
      <c r="P84" s="325">
        <v>5.17</v>
      </c>
      <c r="Q84" s="21">
        <v>2.34</v>
      </c>
      <c r="R84" s="351">
        <v>0</v>
      </c>
      <c r="S84" s="325">
        <f t="shared" si="10"/>
        <v>6709.636182015709</v>
      </c>
      <c r="T84" s="137">
        <f t="shared" si="7"/>
        <v>89.58125743679183</v>
      </c>
    </row>
    <row r="85" spans="1:20">
      <c r="B85" s="100" t="s">
        <v>75</v>
      </c>
      <c r="C85" s="351">
        <f>+'Bal Mat Fus'!C195</f>
        <v>0.11011868536163671</v>
      </c>
      <c r="D85" s="334">
        <f t="shared" si="8"/>
        <v>113367.44079072961</v>
      </c>
      <c r="E85" s="137">
        <f t="shared" si="9"/>
        <v>12483.873542688334</v>
      </c>
      <c r="L85" s="100" t="s">
        <v>75</v>
      </c>
      <c r="M85" s="362">
        <v>63.5</v>
      </c>
      <c r="N85" s="362">
        <v>298</v>
      </c>
      <c r="O85" s="334">
        <v>0</v>
      </c>
      <c r="P85" s="325">
        <v>7.5</v>
      </c>
      <c r="Q85" s="21">
        <v>0</v>
      </c>
      <c r="R85" s="351">
        <v>0</v>
      </c>
      <c r="S85" s="325">
        <f t="shared" si="10"/>
        <v>7198.8324902113309</v>
      </c>
      <c r="T85" s="137">
        <f t="shared" si="7"/>
        <v>113.36744079072962</v>
      </c>
    </row>
    <row r="86" spans="1:20">
      <c r="B86" s="260" t="s">
        <v>103</v>
      </c>
      <c r="C86" s="352">
        <f>+'Bal Mat Fus'!C196</f>
        <v>0.10474537115349726</v>
      </c>
      <c r="D86" s="349">
        <f t="shared" si="8"/>
        <v>246291.99042588525</v>
      </c>
      <c r="E86" s="138">
        <f t="shared" si="9"/>
        <v>25797.945949292945</v>
      </c>
      <c r="I86" s="7" t="s">
        <v>360</v>
      </c>
      <c r="L86" s="260" t="s">
        <v>103</v>
      </c>
      <c r="M86" s="363">
        <f>+M100</f>
        <v>74</v>
      </c>
      <c r="N86" s="363">
        <v>298</v>
      </c>
      <c r="O86" s="349">
        <v>0</v>
      </c>
      <c r="P86" s="363">
        <f>+P100</f>
        <v>20.082666666666668</v>
      </c>
      <c r="Q86" s="363">
        <f>+Q100</f>
        <v>1.6286666666666667</v>
      </c>
      <c r="R86" s="373">
        <f>+R100</f>
        <v>-8.8520000000000003</v>
      </c>
      <c r="S86" s="270">
        <f t="shared" si="10"/>
        <v>18225.607291515509</v>
      </c>
      <c r="T86" s="138">
        <f t="shared" si="7"/>
        <v>246.29199042588525</v>
      </c>
    </row>
    <row r="87" spans="1:20">
      <c r="C87" s="210">
        <f ca="1">SUM(C80:C86)</f>
        <v>26.633180800947287</v>
      </c>
      <c r="D87" s="267"/>
      <c r="E87" s="356">
        <f ca="1">SUM(E80:E86)</f>
        <v>1482578.3460457886</v>
      </c>
      <c r="I87" s="347">
        <f ca="1">+E87/1000</f>
        <v>1482.5783460457885</v>
      </c>
    </row>
    <row r="89" spans="1:20">
      <c r="A89" s="7">
        <v>2</v>
      </c>
      <c r="B89" s="190" t="s">
        <v>326</v>
      </c>
    </row>
    <row r="91" spans="1:20">
      <c r="B91" s="266" t="s">
        <v>333</v>
      </c>
      <c r="D91" s="330">
        <f>+macro!D6</f>
        <v>984.8443320281774</v>
      </c>
      <c r="E91" t="s">
        <v>334</v>
      </c>
      <c r="G91" s="334"/>
      <c r="S91" s="360">
        <f>+D91+273</f>
        <v>1257.8443320281774</v>
      </c>
      <c r="T91" t="s">
        <v>365</v>
      </c>
    </row>
    <row r="92" spans="1:20">
      <c r="B92" s="266"/>
      <c r="D92" s="353"/>
      <c r="L92" s="183"/>
      <c r="M92" s="364"/>
      <c r="N92" s="365" t="s">
        <v>366</v>
      </c>
      <c r="O92" s="366" t="s">
        <v>367</v>
      </c>
      <c r="P92" s="1438" t="s">
        <v>368</v>
      </c>
      <c r="Q92" s="1438"/>
      <c r="R92" s="1439"/>
      <c r="S92" s="366" t="s">
        <v>369</v>
      </c>
      <c r="T92" s="183"/>
    </row>
    <row r="93" spans="1:20">
      <c r="C93" s="7" t="s">
        <v>151</v>
      </c>
      <c r="D93" s="7" t="s">
        <v>314</v>
      </c>
      <c r="E93" s="7" t="s">
        <v>315</v>
      </c>
      <c r="L93" s="260"/>
      <c r="M93" s="367" t="s">
        <v>370</v>
      </c>
      <c r="N93" s="368" t="s">
        <v>371</v>
      </c>
      <c r="O93" s="368" t="s">
        <v>372</v>
      </c>
      <c r="P93" s="369" t="s">
        <v>373</v>
      </c>
      <c r="Q93" s="367" t="s">
        <v>374</v>
      </c>
      <c r="R93" s="370" t="s">
        <v>375</v>
      </c>
      <c r="S93" s="371" t="s">
        <v>376</v>
      </c>
      <c r="T93" s="372" t="s">
        <v>220</v>
      </c>
    </row>
    <row r="94" spans="1:20">
      <c r="B94" s="183" t="s">
        <v>136</v>
      </c>
      <c r="C94" s="350">
        <f>+'Bal Mat Fus'!C200</f>
        <v>22.039906214671497</v>
      </c>
      <c r="D94" s="348">
        <f>+T94*1000</f>
        <v>87049.246170814877</v>
      </c>
      <c r="E94" s="171">
        <f t="shared" ref="E94:E100" si="11">+C94*D94</f>
        <v>1918557.2216626117</v>
      </c>
      <c r="L94" s="183" t="s">
        <v>136</v>
      </c>
      <c r="M94" s="361">
        <f>118.7+16</f>
        <v>134.69999999999999</v>
      </c>
      <c r="N94" s="361">
        <v>298</v>
      </c>
      <c r="O94" s="348">
        <v>0</v>
      </c>
      <c r="P94" s="324">
        <v>9.4</v>
      </c>
      <c r="Q94" s="345">
        <v>3.62</v>
      </c>
      <c r="R94" s="350">
        <v>0</v>
      </c>
      <c r="S94" s="324">
        <f>+(P94*($S$91-N94)+Q94*10^(-3)*($S$91^2-N94^2)/2-R94*10^5*($S$91^(-1)-N94^(-1)))+O94</f>
        <v>11725.533459208764</v>
      </c>
      <c r="T94" s="171">
        <f t="shared" ref="T94:T100" si="12">+S94/M94</f>
        <v>87.049246170814882</v>
      </c>
    </row>
    <row r="95" spans="1:20">
      <c r="B95" s="100" t="s">
        <v>134</v>
      </c>
      <c r="C95" s="351">
        <f>+'Bal Mat Fus'!C201</f>
        <v>10.628423444007268</v>
      </c>
      <c r="D95" s="334">
        <f t="shared" ref="D95:D100" si="13">+T95*1000</f>
        <v>174162.65543527185</v>
      </c>
      <c r="E95" s="137">
        <f t="shared" si="11"/>
        <v>1851074.4500988033</v>
      </c>
      <c r="L95" s="100" t="s">
        <v>134</v>
      </c>
      <c r="M95" s="362">
        <v>71.849999999999994</v>
      </c>
      <c r="N95" s="362">
        <v>298</v>
      </c>
      <c r="O95" s="334">
        <v>0</v>
      </c>
      <c r="P95" s="325">
        <v>11.66</v>
      </c>
      <c r="Q95" s="21">
        <v>2</v>
      </c>
      <c r="R95" s="351">
        <v>-0.67</v>
      </c>
      <c r="S95" s="325">
        <f t="shared" ref="S95:S100" si="14">+(P95*($S$91-N95)+Q95*10^(-3)*($S$91^2-N95^2)/2-R95*10^5*($S$91^(-1)-N95^(-1)))+O95</f>
        <v>12513.586793024282</v>
      </c>
      <c r="T95" s="137">
        <f t="shared" si="12"/>
        <v>174.16265543527186</v>
      </c>
    </row>
    <row r="96" spans="1:20">
      <c r="B96" s="100" t="s">
        <v>93</v>
      </c>
      <c r="C96" s="351">
        <f>+'Bal Mat Fus'!C202</f>
        <v>21.053105058254907</v>
      </c>
      <c r="D96" s="334">
        <f t="shared" si="13"/>
        <v>250639.12061506565</v>
      </c>
      <c r="E96" s="137">
        <f t="shared" si="11"/>
        <v>5276731.7380176</v>
      </c>
      <c r="L96" s="100" t="s">
        <v>93</v>
      </c>
      <c r="M96" s="362">
        <v>60</v>
      </c>
      <c r="N96" s="362">
        <v>1079</v>
      </c>
      <c r="O96" s="334">
        <v>11992.9</v>
      </c>
      <c r="P96" s="325">
        <v>17.384</v>
      </c>
      <c r="Q96" s="21">
        <v>0.318</v>
      </c>
      <c r="R96" s="351">
        <v>-9.8680000000000003</v>
      </c>
      <c r="S96" s="325">
        <f t="shared" si="14"/>
        <v>15038.347236903939</v>
      </c>
      <c r="T96" s="137">
        <f t="shared" si="12"/>
        <v>250.63912061506565</v>
      </c>
    </row>
    <row r="97" spans="1:20">
      <c r="B97" s="100" t="s">
        <v>105</v>
      </c>
      <c r="C97" s="351">
        <f>+'Bal Mat Fus'!C203</f>
        <v>8.4282946074038971</v>
      </c>
      <c r="D97" s="334">
        <f t="shared" si="13"/>
        <v>253763.21771786755</v>
      </c>
      <c r="E97" s="137">
        <f t="shared" si="11"/>
        <v>2138791.1594489641</v>
      </c>
      <c r="L97" s="100" t="s">
        <v>105</v>
      </c>
      <c r="M97" s="362">
        <f>27*2+16*3</f>
        <v>102</v>
      </c>
      <c r="N97" s="362">
        <v>298</v>
      </c>
      <c r="O97" s="334">
        <v>0</v>
      </c>
      <c r="P97" s="325">
        <v>25.48</v>
      </c>
      <c r="Q97" s="21">
        <v>4.25</v>
      </c>
      <c r="R97" s="351">
        <v>-6.82</v>
      </c>
      <c r="S97" s="325">
        <f t="shared" si="14"/>
        <v>25883.848207222491</v>
      </c>
      <c r="T97" s="137">
        <f t="shared" si="12"/>
        <v>253.76321771786755</v>
      </c>
    </row>
    <row r="98" spans="1:20">
      <c r="B98" s="100" t="s">
        <v>129</v>
      </c>
      <c r="C98" s="351">
        <f>+'Bal Mat Fus'!C204</f>
        <v>14.915701137554322</v>
      </c>
      <c r="D98" s="334">
        <f t="shared" si="13"/>
        <v>210091.02731696409</v>
      </c>
      <c r="E98" s="137">
        <f t="shared" si="11"/>
        <v>3133654.9751415974</v>
      </c>
      <c r="L98" s="100" t="s">
        <v>129</v>
      </c>
      <c r="M98" s="362">
        <v>56</v>
      </c>
      <c r="N98" s="362">
        <v>298</v>
      </c>
      <c r="O98" s="334">
        <v>0</v>
      </c>
      <c r="P98" s="325">
        <v>11.86</v>
      </c>
      <c r="Q98" s="21">
        <v>1.08</v>
      </c>
      <c r="R98" s="351">
        <v>-1.66</v>
      </c>
      <c r="S98" s="325">
        <f t="shared" si="14"/>
        <v>11765.097529749988</v>
      </c>
      <c r="T98" s="137">
        <f t="shared" si="12"/>
        <v>210.09102731696407</v>
      </c>
    </row>
    <row r="99" spans="1:20">
      <c r="B99" s="100" t="s">
        <v>131</v>
      </c>
      <c r="C99" s="351">
        <f>+'Bal Mat Fus'!C205</f>
        <v>0.55952127832600007</v>
      </c>
      <c r="D99" s="334">
        <f t="shared" si="13"/>
        <v>267575.02787506307</v>
      </c>
      <c r="E99" s="137">
        <f t="shared" si="11"/>
        <v>149713.92164477039</v>
      </c>
      <c r="L99" s="100" t="s">
        <v>131</v>
      </c>
      <c r="M99" s="362">
        <f>24.3+16</f>
        <v>40.299999999999997</v>
      </c>
      <c r="N99" s="362">
        <v>298</v>
      </c>
      <c r="O99" s="334">
        <v>0</v>
      </c>
      <c r="P99" s="325">
        <v>10.86</v>
      </c>
      <c r="Q99" s="21">
        <v>1.1970000000000001</v>
      </c>
      <c r="R99" s="351">
        <v>-2.0870000000000002</v>
      </c>
      <c r="S99" s="325">
        <f t="shared" si="14"/>
        <v>10783.273623365041</v>
      </c>
      <c r="T99" s="137">
        <f t="shared" si="12"/>
        <v>267.57502787506309</v>
      </c>
    </row>
    <row r="100" spans="1:20">
      <c r="B100" s="260" t="s">
        <v>103</v>
      </c>
      <c r="C100" s="352">
        <f>+'Bal Mat Fus'!C206</f>
        <v>16.658030945833396</v>
      </c>
      <c r="D100" s="349">
        <f t="shared" si="13"/>
        <v>246291.99042588525</v>
      </c>
      <c r="E100" s="138">
        <f t="shared" si="11"/>
        <v>4102739.5982252988</v>
      </c>
      <c r="I100" s="7" t="s">
        <v>360</v>
      </c>
      <c r="L100" s="260" t="s">
        <v>103</v>
      </c>
      <c r="M100" s="363">
        <f>+(M96*2+M97)/3</f>
        <v>74</v>
      </c>
      <c r="N100" s="363">
        <v>298</v>
      </c>
      <c r="O100" s="349">
        <v>0</v>
      </c>
      <c r="P100" s="363">
        <f>+(P96*2+P97)/3</f>
        <v>20.082666666666668</v>
      </c>
      <c r="Q100" s="363">
        <f>+(Q96*2+Q97)/3</f>
        <v>1.6286666666666667</v>
      </c>
      <c r="R100" s="373">
        <f>+(R96*2+R97)/3</f>
        <v>-8.8520000000000003</v>
      </c>
      <c r="S100" s="270">
        <f t="shared" si="14"/>
        <v>18225.607291515509</v>
      </c>
      <c r="T100" s="138">
        <f t="shared" si="12"/>
        <v>246.29199042588525</v>
      </c>
    </row>
    <row r="101" spans="1:20">
      <c r="C101" s="210">
        <f>SUM(C94:C100)</f>
        <v>94.282982686051298</v>
      </c>
      <c r="D101" s="267"/>
      <c r="E101" s="267">
        <f>SUM(E94:E100)</f>
        <v>18571263.064239647</v>
      </c>
      <c r="I101" s="347">
        <f>+E101/1000</f>
        <v>18571.263064239647</v>
      </c>
    </row>
    <row r="103" spans="1:20">
      <c r="A103" s="7">
        <v>3</v>
      </c>
      <c r="B103" s="190" t="s">
        <v>327</v>
      </c>
    </row>
    <row r="105" spans="1:20">
      <c r="B105" s="266" t="s">
        <v>333</v>
      </c>
      <c r="D105" s="331">
        <f>+D91+200</f>
        <v>1184.8443320281774</v>
      </c>
      <c r="E105" t="s">
        <v>334</v>
      </c>
      <c r="S105" s="360">
        <f>+D105+273</f>
        <v>1457.8443320281774</v>
      </c>
      <c r="T105" t="s">
        <v>365</v>
      </c>
    </row>
    <row r="106" spans="1:20">
      <c r="B106" s="266"/>
      <c r="D106" s="353"/>
      <c r="L106" s="183"/>
      <c r="M106" s="364"/>
      <c r="N106" s="365" t="s">
        <v>366</v>
      </c>
      <c r="O106" s="366" t="s">
        <v>367</v>
      </c>
      <c r="P106" s="1438" t="s">
        <v>368</v>
      </c>
      <c r="Q106" s="1438"/>
      <c r="R106" s="1439"/>
      <c r="S106" s="366" t="s">
        <v>369</v>
      </c>
      <c r="T106" s="183"/>
    </row>
    <row r="107" spans="1:20">
      <c r="C107" s="7" t="s">
        <v>151</v>
      </c>
      <c r="D107" s="7" t="s">
        <v>314</v>
      </c>
      <c r="E107" s="7" t="s">
        <v>315</v>
      </c>
      <c r="L107" s="260"/>
      <c r="M107" s="367" t="s">
        <v>370</v>
      </c>
      <c r="N107" s="368" t="s">
        <v>371</v>
      </c>
      <c r="O107" s="368" t="s">
        <v>372</v>
      </c>
      <c r="P107" s="369" t="s">
        <v>373</v>
      </c>
      <c r="Q107" s="367" t="s">
        <v>374</v>
      </c>
      <c r="R107" s="370" t="s">
        <v>375</v>
      </c>
      <c r="S107" s="371" t="s">
        <v>376</v>
      </c>
      <c r="T107" s="372" t="s">
        <v>220</v>
      </c>
    </row>
    <row r="108" spans="1:20">
      <c r="B108" s="183" t="s">
        <v>217</v>
      </c>
      <c r="C108" s="350">
        <f>+'Bal Mat Fus'!C235</f>
        <v>28.408467655952631</v>
      </c>
      <c r="D108" s="348">
        <f>+T108*1000</f>
        <v>315708.0264652638</v>
      </c>
      <c r="E108" s="171">
        <f t="shared" ref="E108:E115" si="15">+C108*D108</f>
        <v>8968781.2585630845</v>
      </c>
      <c r="F108" s="267"/>
      <c r="L108" s="183" t="s">
        <v>217</v>
      </c>
      <c r="M108" s="374">
        <v>44</v>
      </c>
      <c r="N108" s="361">
        <v>298</v>
      </c>
      <c r="O108" s="348">
        <v>0</v>
      </c>
      <c r="P108" s="324">
        <v>10.55</v>
      </c>
      <c r="Q108" s="345">
        <v>2.16</v>
      </c>
      <c r="R108" s="350">
        <v>-2.04</v>
      </c>
      <c r="S108" s="324">
        <f>+(P108*($S$105-N108)+Q108*10^(-3)*($S$105^2-N108^2)/2-R108*10^5*($S$105^(-1)-N108^(-1)))+O108</f>
        <v>13891.153164471607</v>
      </c>
      <c r="T108" s="171">
        <f t="shared" ref="T108:T114" si="16">+S108/M108</f>
        <v>315.7080264652638</v>
      </c>
    </row>
    <row r="109" spans="1:20">
      <c r="B109" s="100" t="s">
        <v>195</v>
      </c>
      <c r="C109" s="351">
        <f>+'Bal Mat Fus'!C236</f>
        <v>15.738679518906075</v>
      </c>
      <c r="D109" s="334">
        <f t="shared" ref="D109:D115" si="17">+T109*1000</f>
        <v>315852.27275958157</v>
      </c>
      <c r="E109" s="137">
        <f t="shared" si="15"/>
        <v>4971097.6962811612</v>
      </c>
      <c r="F109" s="267"/>
      <c r="L109" s="100" t="s">
        <v>195</v>
      </c>
      <c r="M109" s="375">
        <v>28</v>
      </c>
      <c r="N109" s="362">
        <v>298</v>
      </c>
      <c r="O109" s="334">
        <v>0</v>
      </c>
      <c r="P109" s="325">
        <v>6.79</v>
      </c>
      <c r="Q109" s="21">
        <v>0.98</v>
      </c>
      <c r="R109" s="351">
        <v>-0.11</v>
      </c>
      <c r="S109" s="325">
        <f t="shared" ref="S109:S115" si="18">+(P109*($S$105-N109)+Q109*10^(-3)*($S$105^2-N109^2)/2-R109*10^5*($S$105^(-1)-N109^(-1)))+O109</f>
        <v>8843.8636372682849</v>
      </c>
      <c r="T109" s="137">
        <f t="shared" si="16"/>
        <v>315.85227275958158</v>
      </c>
    </row>
    <row r="110" spans="1:20">
      <c r="B110" s="100" t="s">
        <v>219</v>
      </c>
      <c r="C110" s="351">
        <f>+'Bal Mat Fus'!C237</f>
        <v>37.436977395660733</v>
      </c>
      <c r="D110" s="334">
        <f t="shared" si="17"/>
        <v>312970.76287447393</v>
      </c>
      <c r="E110" s="137">
        <f t="shared" si="15"/>
        <v>11716679.375234377</v>
      </c>
      <c r="F110" s="267"/>
      <c r="L110" s="100" t="s">
        <v>219</v>
      </c>
      <c r="M110" s="375">
        <v>28</v>
      </c>
      <c r="N110" s="362">
        <v>298</v>
      </c>
      <c r="O110" s="334">
        <v>0</v>
      </c>
      <c r="P110" s="325">
        <v>6.66</v>
      </c>
      <c r="Q110" s="21">
        <v>1.02</v>
      </c>
      <c r="R110" s="351">
        <v>0</v>
      </c>
      <c r="S110" s="325">
        <f t="shared" si="18"/>
        <v>8763.1813604852705</v>
      </c>
      <c r="T110" s="137">
        <f t="shared" si="16"/>
        <v>312.97076287447396</v>
      </c>
    </row>
    <row r="111" spans="1:20">
      <c r="B111" s="100" t="s">
        <v>239</v>
      </c>
      <c r="C111" s="351">
        <f>+'Bal Mat Fus'!C238</f>
        <v>0</v>
      </c>
      <c r="D111" s="334">
        <f t="shared" si="17"/>
        <v>222600.63955377531</v>
      </c>
      <c r="E111" s="137">
        <f t="shared" si="15"/>
        <v>0</v>
      </c>
      <c r="F111" s="267"/>
      <c r="L111" s="100" t="s">
        <v>239</v>
      </c>
      <c r="M111" s="375">
        <v>64</v>
      </c>
      <c r="N111" s="362">
        <v>298</v>
      </c>
      <c r="O111" s="334">
        <v>0</v>
      </c>
      <c r="P111" s="325">
        <v>10.38</v>
      </c>
      <c r="Q111" s="21">
        <v>2.54</v>
      </c>
      <c r="R111" s="351">
        <v>-1.42</v>
      </c>
      <c r="S111" s="325">
        <f t="shared" si="18"/>
        <v>14246.440931441621</v>
      </c>
      <c r="T111" s="137">
        <f t="shared" si="16"/>
        <v>222.60063955377532</v>
      </c>
    </row>
    <row r="112" spans="1:20">
      <c r="B112" s="100" t="s">
        <v>150</v>
      </c>
      <c r="C112" s="351">
        <f>+'Bal Mat Fus'!C239</f>
        <v>24.031984127804435</v>
      </c>
      <c r="D112" s="334">
        <f t="shared" si="17"/>
        <v>649380.87949454552</v>
      </c>
      <c r="E112" s="137">
        <f t="shared" si="15"/>
        <v>15605910.988912603</v>
      </c>
      <c r="F112" s="267"/>
      <c r="L112" s="100" t="s">
        <v>150</v>
      </c>
      <c r="M112" s="375">
        <v>18</v>
      </c>
      <c r="N112" s="362">
        <v>373</v>
      </c>
      <c r="O112" s="334">
        <v>1352.25</v>
      </c>
      <c r="P112" s="325">
        <v>7.17</v>
      </c>
      <c r="Q112" s="21">
        <v>2.56</v>
      </c>
      <c r="R112" s="351">
        <v>0.08</v>
      </c>
      <c r="S112" s="325">
        <f t="shared" si="18"/>
        <v>11688.855830901819</v>
      </c>
      <c r="T112" s="137">
        <f t="shared" si="16"/>
        <v>649.38087949454552</v>
      </c>
    </row>
    <row r="113" spans="1:20">
      <c r="B113" s="173" t="s">
        <v>216</v>
      </c>
      <c r="C113" s="390">
        <f>+'Bal Mat Fus'!C240</f>
        <v>0.48909533451510079</v>
      </c>
      <c r="D113" s="334">
        <f t="shared" si="17"/>
        <v>1118967.4242177431</v>
      </c>
      <c r="E113" s="137">
        <f t="shared" si="15"/>
        <v>547281.74665927771</v>
      </c>
      <c r="F113" s="267"/>
      <c r="L113" s="173" t="s">
        <v>215</v>
      </c>
      <c r="M113" s="375">
        <v>16</v>
      </c>
      <c r="N113" s="362">
        <v>298</v>
      </c>
      <c r="O113" s="334">
        <v>0</v>
      </c>
      <c r="P113" s="325">
        <v>5.34</v>
      </c>
      <c r="Q113" s="21">
        <v>11.5</v>
      </c>
      <c r="R113" s="351">
        <v>0</v>
      </c>
      <c r="S113" s="325">
        <f t="shared" si="18"/>
        <v>17903.478787483891</v>
      </c>
      <c r="T113" s="137">
        <f t="shared" si="16"/>
        <v>1118.9674242177432</v>
      </c>
    </row>
    <row r="114" spans="1:20">
      <c r="B114" s="173" t="s">
        <v>245</v>
      </c>
      <c r="C114" s="351">
        <f>+'Bal Mat Fus'!C241</f>
        <v>3.0335714285714278E-2</v>
      </c>
      <c r="D114" s="334">
        <f t="shared" si="17"/>
        <v>287998.37654204952</v>
      </c>
      <c r="E114" s="137">
        <f t="shared" si="15"/>
        <v>8736.6364655291709</v>
      </c>
      <c r="F114" s="267"/>
      <c r="L114" s="173" t="s">
        <v>245</v>
      </c>
      <c r="M114" s="376">
        <v>32</v>
      </c>
      <c r="N114" s="362">
        <v>298</v>
      </c>
      <c r="O114" s="334">
        <v>0</v>
      </c>
      <c r="P114" s="325">
        <v>7.16</v>
      </c>
      <c r="Q114" s="21">
        <v>1</v>
      </c>
      <c r="R114" s="351">
        <v>-0.4</v>
      </c>
      <c r="S114" s="325">
        <f t="shared" si="18"/>
        <v>9215.9480493455849</v>
      </c>
      <c r="T114" s="137">
        <f t="shared" si="16"/>
        <v>287.99837654204953</v>
      </c>
    </row>
    <row r="115" spans="1:20">
      <c r="B115" s="260" t="s">
        <v>240</v>
      </c>
      <c r="C115" s="352">
        <f>+'Bal Mat Fus'!C242</f>
        <v>0.14408052915930677</v>
      </c>
      <c r="D115" s="349">
        <f t="shared" si="17"/>
        <v>160264.69192602759</v>
      </c>
      <c r="E115" s="138">
        <f t="shared" si="15"/>
        <v>23091.021618255334</v>
      </c>
      <c r="F115" s="267"/>
      <c r="I115" s="7" t="s">
        <v>360</v>
      </c>
      <c r="L115" s="260" t="s">
        <v>240</v>
      </c>
      <c r="M115" s="373">
        <v>64</v>
      </c>
      <c r="N115" s="363">
        <v>298</v>
      </c>
      <c r="O115" s="349">
        <v>0</v>
      </c>
      <c r="P115" s="363">
        <v>8.58</v>
      </c>
      <c r="Q115" s="349">
        <v>0.3</v>
      </c>
      <c r="R115" s="373">
        <v>0</v>
      </c>
      <c r="S115" s="270">
        <f t="shared" si="18"/>
        <v>10256.940283265765</v>
      </c>
      <c r="T115" s="138">
        <f>+S115/M115</f>
        <v>160.26469192602758</v>
      </c>
    </row>
    <row r="116" spans="1:20">
      <c r="C116" s="210">
        <f>SUM(C108:C115)</f>
        <v>106.27962027628399</v>
      </c>
      <c r="D116" s="267"/>
      <c r="E116" s="356">
        <f>SUM(E108:E115)</f>
        <v>41841578.723734289</v>
      </c>
      <c r="I116" s="347">
        <f>+E116/1000</f>
        <v>41841.578723734288</v>
      </c>
    </row>
    <row r="118" spans="1:20">
      <c r="A118" s="7">
        <v>4</v>
      </c>
      <c r="B118" s="190" t="s">
        <v>328</v>
      </c>
    </row>
    <row r="120" spans="1:20">
      <c r="B120" s="266" t="s">
        <v>333</v>
      </c>
      <c r="D120" s="331">
        <f>+D77</f>
        <v>984.8443320281774</v>
      </c>
      <c r="E120" t="s">
        <v>334</v>
      </c>
      <c r="S120" s="360">
        <f>+D120+273</f>
        <v>1257.8443320281774</v>
      </c>
      <c r="T120" t="s">
        <v>365</v>
      </c>
    </row>
    <row r="121" spans="1:20">
      <c r="B121" s="266"/>
      <c r="D121" s="353"/>
      <c r="L121" s="183"/>
      <c r="M121" s="364"/>
      <c r="N121" s="365" t="s">
        <v>366</v>
      </c>
      <c r="O121" s="366" t="s">
        <v>367</v>
      </c>
      <c r="P121" s="1438" t="s">
        <v>368</v>
      </c>
      <c r="Q121" s="1438"/>
      <c r="R121" s="1439"/>
      <c r="S121" s="366" t="s">
        <v>369</v>
      </c>
      <c r="T121" s="183"/>
    </row>
    <row r="122" spans="1:20">
      <c r="C122" s="7" t="s">
        <v>151</v>
      </c>
      <c r="D122" s="7" t="s">
        <v>314</v>
      </c>
      <c r="E122" s="7" t="s">
        <v>315</v>
      </c>
      <c r="L122" s="260"/>
      <c r="M122" s="367" t="s">
        <v>370</v>
      </c>
      <c r="N122" s="368" t="s">
        <v>371</v>
      </c>
      <c r="O122" s="368" t="s">
        <v>372</v>
      </c>
      <c r="P122" s="369" t="s">
        <v>373</v>
      </c>
      <c r="Q122" s="367" t="s">
        <v>374</v>
      </c>
      <c r="R122" s="370" t="s">
        <v>375</v>
      </c>
      <c r="S122" s="371" t="s">
        <v>376</v>
      </c>
      <c r="T122" s="372" t="s">
        <v>220</v>
      </c>
    </row>
    <row r="123" spans="1:20">
      <c r="B123" s="183" t="s">
        <v>7</v>
      </c>
      <c r="C123" s="350">
        <f ca="1">+'Bal Mat Fus'!C211</f>
        <v>5.1995275167011021</v>
      </c>
      <c r="D123" s="348">
        <f>+T123*1000</f>
        <v>53369.609025998063</v>
      </c>
      <c r="E123" s="171">
        <f ca="1">+C123*D123</f>
        <v>277496.75068625645</v>
      </c>
      <c r="L123" s="183" t="s">
        <v>7</v>
      </c>
      <c r="M123" s="361">
        <v>118.7</v>
      </c>
      <c r="N123" s="361">
        <v>298</v>
      </c>
      <c r="O123" s="348">
        <v>0</v>
      </c>
      <c r="P123" s="324">
        <v>6.6</v>
      </c>
      <c r="Q123" s="345">
        <v>0</v>
      </c>
      <c r="R123" s="350">
        <v>0</v>
      </c>
      <c r="S123" s="324">
        <f t="shared" ref="S123:S128" si="19">+(P123*($S$120-N123)+Q123*10^(-3)*($S$120^2-N123^2)/2-R123*10^5*($S$120^(-1)-N123^(-1)))+O123</f>
        <v>6334.9725913859702</v>
      </c>
      <c r="T123" s="171">
        <f t="shared" ref="T123:T129" si="20">+S123/M123</f>
        <v>53.369609025998059</v>
      </c>
    </row>
    <row r="124" spans="1:20">
      <c r="B124" s="100" t="s">
        <v>10</v>
      </c>
      <c r="C124" s="351">
        <f>+'Bal Mat Fus'!C212</f>
        <v>0.48032996225063485</v>
      </c>
      <c r="D124" s="334">
        <f t="shared" ref="D124:D129" si="21">+T124*1000</f>
        <v>140066.80941861498</v>
      </c>
      <c r="E124" s="137">
        <f t="shared" ref="E124:E129" si="22">+C124*D124</f>
        <v>67278.285280610202</v>
      </c>
      <c r="L124" s="100" t="s">
        <v>10</v>
      </c>
      <c r="M124" s="362">
        <v>55.85</v>
      </c>
      <c r="N124" s="362">
        <v>298</v>
      </c>
      <c r="O124" s="334">
        <v>0</v>
      </c>
      <c r="P124" s="325">
        <v>8.15</v>
      </c>
      <c r="Q124" s="21">
        <v>0</v>
      </c>
      <c r="R124" s="351">
        <v>0</v>
      </c>
      <c r="S124" s="325">
        <f t="shared" si="19"/>
        <v>7822.7313060296465</v>
      </c>
      <c r="T124" s="137">
        <f t="shared" si="20"/>
        <v>140.06680941861498</v>
      </c>
    </row>
    <row r="125" spans="1:20">
      <c r="B125" s="100" t="s">
        <v>6</v>
      </c>
      <c r="C125" s="351">
        <f>+'Bal Mat Fus'!C213</f>
        <v>0</v>
      </c>
      <c r="D125" s="334">
        <f t="shared" si="21"/>
        <v>31500.682711349451</v>
      </c>
      <c r="E125" s="137">
        <f t="shared" si="22"/>
        <v>0</v>
      </c>
      <c r="L125" s="100" t="s">
        <v>6</v>
      </c>
      <c r="M125" s="362">
        <v>207.2</v>
      </c>
      <c r="N125" s="362">
        <v>298</v>
      </c>
      <c r="O125" s="334">
        <v>0</v>
      </c>
      <c r="P125" s="325">
        <v>6.8</v>
      </c>
      <c r="Q125" s="21">
        <v>0</v>
      </c>
      <c r="R125" s="351">
        <v>0</v>
      </c>
      <c r="S125" s="325">
        <f t="shared" si="19"/>
        <v>6526.9414577916059</v>
      </c>
      <c r="T125" s="137">
        <f t="shared" si="20"/>
        <v>31.500682711349452</v>
      </c>
    </row>
    <row r="126" spans="1:20">
      <c r="B126" s="100" t="s">
        <v>8</v>
      </c>
      <c r="C126" s="351">
        <f>+'Bal Mat Fus'!C214</f>
        <v>4.0865216234629905E-3</v>
      </c>
      <c r="D126" s="334">
        <f t="shared" si="21"/>
        <v>56345.541658468544</v>
      </c>
      <c r="E126" s="137">
        <f t="shared" si="22"/>
        <v>230.25727437306645</v>
      </c>
      <c r="L126" s="100" t="s">
        <v>8</v>
      </c>
      <c r="M126" s="362">
        <v>121.8</v>
      </c>
      <c r="N126" s="362">
        <v>298</v>
      </c>
      <c r="O126" s="334">
        <v>0</v>
      </c>
      <c r="P126" s="325">
        <v>7.15</v>
      </c>
      <c r="Q126" s="21">
        <v>0</v>
      </c>
      <c r="R126" s="351">
        <v>0</v>
      </c>
      <c r="S126" s="325">
        <f t="shared" si="19"/>
        <v>6862.8869740014688</v>
      </c>
      <c r="T126" s="137">
        <f t="shared" si="20"/>
        <v>56.345541658468548</v>
      </c>
    </row>
    <row r="127" spans="1:20">
      <c r="B127" s="100" t="s">
        <v>9</v>
      </c>
      <c r="C127" s="351">
        <f>+'Bal Mat Fus'!C215</f>
        <v>8.6740683556898776E-2</v>
      </c>
      <c r="D127" s="334">
        <f t="shared" si="21"/>
        <v>89581.257436791828</v>
      </c>
      <c r="E127" s="137">
        <f t="shared" si="22"/>
        <v>7770.3395039538455</v>
      </c>
      <c r="L127" s="100" t="s">
        <v>9</v>
      </c>
      <c r="M127" s="362">
        <v>74.900000000000006</v>
      </c>
      <c r="N127" s="362">
        <v>298</v>
      </c>
      <c r="O127" s="334">
        <v>0</v>
      </c>
      <c r="P127" s="325">
        <v>5.17</v>
      </c>
      <c r="Q127" s="21">
        <v>2.34</v>
      </c>
      <c r="R127" s="351">
        <v>0</v>
      </c>
      <c r="S127" s="325">
        <f t="shared" si="19"/>
        <v>6709.636182015709</v>
      </c>
      <c r="T127" s="137">
        <f t="shared" si="20"/>
        <v>89.58125743679183</v>
      </c>
    </row>
    <row r="128" spans="1:20">
      <c r="B128" s="100" t="s">
        <v>75</v>
      </c>
      <c r="C128" s="351">
        <f>+'Bal Mat Fus'!C216</f>
        <v>2.7529671340409179E-2</v>
      </c>
      <c r="D128" s="334">
        <f t="shared" si="21"/>
        <v>113367.44079072961</v>
      </c>
      <c r="E128" s="137">
        <f t="shared" si="22"/>
        <v>3120.9683856720835</v>
      </c>
      <c r="L128" s="100" t="s">
        <v>75</v>
      </c>
      <c r="M128" s="362">
        <v>63.5</v>
      </c>
      <c r="N128" s="362">
        <v>298</v>
      </c>
      <c r="O128" s="334">
        <v>0</v>
      </c>
      <c r="P128" s="325">
        <v>7.5</v>
      </c>
      <c r="Q128" s="21">
        <v>0</v>
      </c>
      <c r="R128" s="351">
        <v>0</v>
      </c>
      <c r="S128" s="325">
        <f t="shared" si="19"/>
        <v>7198.8324902113309</v>
      </c>
      <c r="T128" s="137">
        <f t="shared" si="20"/>
        <v>113.36744079072962</v>
      </c>
    </row>
    <row r="129" spans="1:20">
      <c r="B129" s="358" t="s">
        <v>103</v>
      </c>
      <c r="C129" s="352">
        <f>+'Bal Mat Fus'!C217</f>
        <v>2.0949074230699454</v>
      </c>
      <c r="D129" s="349">
        <f t="shared" si="21"/>
        <v>246291.99042588525</v>
      </c>
      <c r="E129" s="138">
        <f t="shared" si="22"/>
        <v>515958.91898585891</v>
      </c>
      <c r="I129" s="7" t="s">
        <v>360</v>
      </c>
      <c r="L129" s="260" t="s">
        <v>103</v>
      </c>
      <c r="M129" s="363">
        <f>+M100</f>
        <v>74</v>
      </c>
      <c r="N129" s="363">
        <v>298</v>
      </c>
      <c r="O129" s="349">
        <v>0</v>
      </c>
      <c r="P129" s="363">
        <f>+P100</f>
        <v>20.082666666666668</v>
      </c>
      <c r="Q129" s="363">
        <f>+Q100</f>
        <v>1.6286666666666667</v>
      </c>
      <c r="R129" s="363">
        <f>+R100</f>
        <v>-8.8520000000000003</v>
      </c>
      <c r="S129" s="270">
        <f>+(P129*($S$77-N129)+Q129*10^(-3)*($S$77^2-N129^2)/2-R129*10^5*($S$77^(-1)-N129^(-1)))+O129</f>
        <v>18225.607291515509</v>
      </c>
      <c r="T129" s="138">
        <f t="shared" si="20"/>
        <v>246.29199042588525</v>
      </c>
    </row>
    <row r="130" spans="1:20">
      <c r="C130" s="210">
        <f ca="1">SUM(C123:C129)</f>
        <v>7.9992731026170674</v>
      </c>
      <c r="D130" s="267"/>
      <c r="E130" s="267">
        <f ca="1">SUM(E123:E129)</f>
        <v>873550.02290894371</v>
      </c>
      <c r="I130" s="347">
        <f ca="1">+E130/1000</f>
        <v>873.55002290894367</v>
      </c>
    </row>
    <row r="132" spans="1:20">
      <c r="A132" s="7">
        <v>5</v>
      </c>
      <c r="B132" s="190" t="s">
        <v>329</v>
      </c>
    </row>
    <row r="134" spans="1:20">
      <c r="B134" s="266" t="s">
        <v>333</v>
      </c>
      <c r="D134" s="331">
        <f>+D105</f>
        <v>1184.8443320281774</v>
      </c>
      <c r="E134" t="s">
        <v>334</v>
      </c>
      <c r="S134" s="360">
        <f>+D134+273</f>
        <v>1457.8443320281774</v>
      </c>
      <c r="T134" t="s">
        <v>365</v>
      </c>
    </row>
    <row r="135" spans="1:20">
      <c r="B135" s="266"/>
      <c r="D135" s="353"/>
      <c r="L135" s="183"/>
      <c r="M135" s="364"/>
      <c r="N135" s="365" t="s">
        <v>366</v>
      </c>
      <c r="O135" s="366" t="s">
        <v>367</v>
      </c>
      <c r="P135" s="1438" t="s">
        <v>368</v>
      </c>
      <c r="Q135" s="1438"/>
      <c r="R135" s="1439"/>
      <c r="S135" s="366" t="s">
        <v>369</v>
      </c>
      <c r="T135" s="183"/>
    </row>
    <row r="136" spans="1:20">
      <c r="C136" s="7" t="s">
        <v>151</v>
      </c>
      <c r="D136" s="7" t="s">
        <v>314</v>
      </c>
      <c r="E136" s="7" t="s">
        <v>315</v>
      </c>
      <c r="L136" s="260"/>
      <c r="M136" s="367" t="s">
        <v>370</v>
      </c>
      <c r="N136" s="368" t="s">
        <v>371</v>
      </c>
      <c r="O136" s="368" t="s">
        <v>372</v>
      </c>
      <c r="P136" s="369" t="s">
        <v>373</v>
      </c>
      <c r="Q136" s="367" t="s">
        <v>374</v>
      </c>
      <c r="R136" s="370" t="s">
        <v>375</v>
      </c>
      <c r="S136" s="371" t="s">
        <v>376</v>
      </c>
      <c r="T136" s="372" t="s">
        <v>220</v>
      </c>
    </row>
    <row r="137" spans="1:20">
      <c r="B137" s="183" t="s">
        <v>377</v>
      </c>
      <c r="C137" s="350">
        <f>+'Bal Mat Fus'!C222</f>
        <v>2.8645836998356433</v>
      </c>
      <c r="D137" s="348">
        <f>+T137*1000</f>
        <v>73255.162413567625</v>
      </c>
      <c r="E137" s="171">
        <f>+C137*D137</f>
        <v>209845.5441787185</v>
      </c>
      <c r="L137" s="183" t="s">
        <v>377</v>
      </c>
      <c r="M137" s="361">
        <f>118.7+16</f>
        <v>134.69999999999999</v>
      </c>
      <c r="N137" s="361">
        <v>298</v>
      </c>
      <c r="O137" s="348">
        <v>0</v>
      </c>
      <c r="P137" s="324">
        <v>8.42</v>
      </c>
      <c r="Q137" s="345">
        <v>0.32</v>
      </c>
      <c r="R137" s="350">
        <v>-0.84</v>
      </c>
      <c r="S137" s="324">
        <f>+(P137*($S$134-N137)+Q137*10^(-3)*($S$134^2-N137^2)/2-R137*10^5*($S$134^(-1)-N137^(-1)))+O137</f>
        <v>9867.4703771075583</v>
      </c>
      <c r="T137" s="171">
        <f t="shared" ref="T137:T145" si="23">+S137/M137</f>
        <v>73.255162413567632</v>
      </c>
    </row>
    <row r="138" spans="1:20">
      <c r="B138" s="100" t="s">
        <v>104</v>
      </c>
      <c r="C138" s="351">
        <f>+'Bal Mat Fus'!C223</f>
        <v>0</v>
      </c>
      <c r="D138" s="334">
        <f>+T138*1000</f>
        <v>140999.20430580151</v>
      </c>
      <c r="E138" s="137">
        <f>+C138*D138</f>
        <v>0</v>
      </c>
      <c r="L138" s="183" t="s">
        <v>104</v>
      </c>
      <c r="M138" s="361">
        <f>118.7+16*2</f>
        <v>150.69999999999999</v>
      </c>
      <c r="N138" s="361">
        <v>298</v>
      </c>
      <c r="O138" s="348">
        <v>0</v>
      </c>
      <c r="P138" s="324">
        <v>13.94</v>
      </c>
      <c r="Q138" s="345">
        <v>5.65</v>
      </c>
      <c r="R138" s="350">
        <v>-2.52</v>
      </c>
      <c r="S138" s="324">
        <f>+(P138*($S$134-N138)+Q138*10^(-3)*($S$134^2-N138^2)/2-R138*10^5*($S$134^(-1)-N138^(-1)))+O138</f>
        <v>21248.580088884282</v>
      </c>
      <c r="T138" s="171">
        <f t="shared" si="23"/>
        <v>140.9992043058015</v>
      </c>
    </row>
    <row r="139" spans="1:20">
      <c r="B139" s="173" t="s">
        <v>378</v>
      </c>
      <c r="C139" s="351">
        <f>+'Bal Mat Fus'!C224</f>
        <v>3.0882349637650641</v>
      </c>
      <c r="D139" s="334">
        <f t="shared" ref="D139:D145" si="24">+T139*1000</f>
        <v>67525.208184507661</v>
      </c>
      <c r="E139" s="137">
        <f>+C139*D139</f>
        <v>208533.70885091144</v>
      </c>
      <c r="L139" s="173" t="s">
        <v>378</v>
      </c>
      <c r="M139" s="362">
        <f>118.7+32</f>
        <v>150.69999999999999</v>
      </c>
      <c r="N139" s="362">
        <v>298</v>
      </c>
      <c r="O139" s="334">
        <v>0</v>
      </c>
      <c r="P139" s="325">
        <v>8.83</v>
      </c>
      <c r="Q139" s="21">
        <v>0.08</v>
      </c>
      <c r="R139" s="351">
        <v>-0.55000000000000004</v>
      </c>
      <c r="S139" s="325">
        <f t="shared" ref="S139:S145" si="25">+(P139*($S$134-N139)+Q139*10^(-3)*($S$134^2-N139^2)/2-R139*10^5*($S$134^(-1)-N139^(-1)))+O139</f>
        <v>10176.048873405303</v>
      </c>
      <c r="T139" s="137">
        <f t="shared" si="23"/>
        <v>67.525208184507662</v>
      </c>
    </row>
    <row r="140" spans="1:20">
      <c r="B140" s="100" t="s">
        <v>134</v>
      </c>
      <c r="C140" s="351">
        <f>+'Bal Mat Fus'!C225</f>
        <v>0.11408043342813783</v>
      </c>
      <c r="D140" s="334">
        <f t="shared" si="24"/>
        <v>214076.78581430495</v>
      </c>
      <c r="E140" s="137">
        <f t="shared" ref="E140:E145" si="26">+C140*D140</f>
        <v>24421.972512598535</v>
      </c>
      <c r="L140" s="100" t="s">
        <v>134</v>
      </c>
      <c r="M140" s="362">
        <v>71.849999999999994</v>
      </c>
      <c r="N140" s="362">
        <v>298</v>
      </c>
      <c r="O140" s="334">
        <v>0</v>
      </c>
      <c r="P140" s="325">
        <v>11.66</v>
      </c>
      <c r="Q140" s="21">
        <v>2</v>
      </c>
      <c r="R140" s="351">
        <v>-0.67</v>
      </c>
      <c r="S140" s="325">
        <f t="shared" si="25"/>
        <v>15381.417060757809</v>
      </c>
      <c r="T140" s="137">
        <f t="shared" si="23"/>
        <v>214.07678581430494</v>
      </c>
    </row>
    <row r="141" spans="1:20">
      <c r="B141" s="100" t="s">
        <v>6</v>
      </c>
      <c r="C141" s="351">
        <f>+'Bal Mat Fus'!C226</f>
        <v>2.2174735803454214E-2</v>
      </c>
      <c r="D141" s="334">
        <f t="shared" si="24"/>
        <v>38064.389275056019</v>
      </c>
      <c r="E141" s="137">
        <f t="shared" si="26"/>
        <v>844.06777569420331</v>
      </c>
      <c r="L141" s="100" t="s">
        <v>6</v>
      </c>
      <c r="M141" s="362">
        <v>207.2</v>
      </c>
      <c r="N141" s="362">
        <v>298</v>
      </c>
      <c r="O141" s="334">
        <v>0</v>
      </c>
      <c r="P141" s="325">
        <v>6.8</v>
      </c>
      <c r="Q141" s="21">
        <v>0</v>
      </c>
      <c r="R141" s="351">
        <v>0</v>
      </c>
      <c r="S141" s="325">
        <f t="shared" si="25"/>
        <v>7886.9414577916059</v>
      </c>
      <c r="T141" s="137">
        <f t="shared" si="23"/>
        <v>38.064389275056016</v>
      </c>
    </row>
    <row r="142" spans="1:20">
      <c r="B142" s="100" t="s">
        <v>8</v>
      </c>
      <c r="C142" s="351">
        <f>+'Bal Mat Fus'!C227</f>
        <v>4.0865216234629905E-3</v>
      </c>
      <c r="D142" s="334">
        <f t="shared" si="24"/>
        <v>68086.099950750984</v>
      </c>
      <c r="E142" s="137">
        <f t="shared" si="26"/>
        <v>278.23531970600635</v>
      </c>
      <c r="L142" s="100" t="s">
        <v>8</v>
      </c>
      <c r="M142" s="362">
        <v>121.8</v>
      </c>
      <c r="N142" s="362">
        <v>298</v>
      </c>
      <c r="O142" s="334">
        <v>0</v>
      </c>
      <c r="P142" s="325">
        <v>7.15</v>
      </c>
      <c r="Q142" s="21">
        <v>0</v>
      </c>
      <c r="R142" s="351">
        <v>0</v>
      </c>
      <c r="S142" s="325">
        <f t="shared" si="25"/>
        <v>8292.8869740014688</v>
      </c>
      <c r="T142" s="137">
        <f t="shared" si="23"/>
        <v>68.086099950750977</v>
      </c>
    </row>
    <row r="143" spans="1:20">
      <c r="B143" s="100" t="s">
        <v>9</v>
      </c>
      <c r="C143" s="351">
        <f>+'Bal Mat Fus'!C228</f>
        <v>2.8913561185632927E-2</v>
      </c>
      <c r="D143" s="334">
        <f t="shared" si="24"/>
        <v>111870.59184786239</v>
      </c>
      <c r="E143" s="137">
        <f t="shared" si="26"/>
        <v>3234.5772022661372</v>
      </c>
      <c r="L143" s="100" t="s">
        <v>9</v>
      </c>
      <c r="M143" s="362">
        <v>74.900000000000006</v>
      </c>
      <c r="N143" s="362">
        <v>298</v>
      </c>
      <c r="O143" s="334">
        <v>0</v>
      </c>
      <c r="P143" s="325">
        <v>5.17</v>
      </c>
      <c r="Q143" s="21">
        <v>2.34</v>
      </c>
      <c r="R143" s="351">
        <v>0</v>
      </c>
      <c r="S143" s="325">
        <f t="shared" si="25"/>
        <v>8379.1073294048947</v>
      </c>
      <c r="T143" s="137">
        <f t="shared" si="23"/>
        <v>111.8705918478624</v>
      </c>
    </row>
    <row r="144" spans="1:20">
      <c r="B144" s="100" t="s">
        <v>75</v>
      </c>
      <c r="C144" s="351">
        <f>+'Bal Mat Fus'!C229</f>
        <v>2.7529671340409179E-2</v>
      </c>
      <c r="D144" s="334">
        <f t="shared" si="24"/>
        <v>136989.48803482411</v>
      </c>
      <c r="E144" s="137">
        <f t="shared" si="26"/>
        <v>3771.2755826896237</v>
      </c>
      <c r="L144" s="100" t="s">
        <v>75</v>
      </c>
      <c r="M144" s="362">
        <v>63.5</v>
      </c>
      <c r="N144" s="362">
        <v>298</v>
      </c>
      <c r="O144" s="334">
        <v>0</v>
      </c>
      <c r="P144" s="325">
        <v>7.5</v>
      </c>
      <c r="Q144" s="21">
        <v>0</v>
      </c>
      <c r="R144" s="351">
        <v>0</v>
      </c>
      <c r="S144" s="325">
        <f t="shared" si="25"/>
        <v>8698.8324902113309</v>
      </c>
      <c r="T144" s="137">
        <f t="shared" si="23"/>
        <v>136.98948803482412</v>
      </c>
    </row>
    <row r="145" spans="1:20">
      <c r="B145" s="260" t="s">
        <v>103</v>
      </c>
      <c r="C145" s="352">
        <f>+'Bal Mat Fus'!C230</f>
        <v>3.0376157634514205</v>
      </c>
      <c r="D145" s="349">
        <f t="shared" si="24"/>
        <v>305241.7566611832</v>
      </c>
      <c r="E145" s="138">
        <f t="shared" si="26"/>
        <v>927207.17169761274</v>
      </c>
      <c r="I145" s="7" t="s">
        <v>360</v>
      </c>
      <c r="L145" s="260" t="s">
        <v>103</v>
      </c>
      <c r="M145" s="363">
        <f>+M129</f>
        <v>74</v>
      </c>
      <c r="N145" s="363">
        <v>298</v>
      </c>
      <c r="O145" s="349">
        <v>0</v>
      </c>
      <c r="P145" s="363">
        <f>+P129</f>
        <v>20.082666666666668</v>
      </c>
      <c r="Q145" s="363">
        <f>+Q129</f>
        <v>1.6286666666666667</v>
      </c>
      <c r="R145" s="373">
        <f>+R129</f>
        <v>-8.8520000000000003</v>
      </c>
      <c r="S145" s="270">
        <f t="shared" si="25"/>
        <v>22587.889992927558</v>
      </c>
      <c r="T145" s="138">
        <f t="shared" si="23"/>
        <v>305.24175666118322</v>
      </c>
    </row>
    <row r="146" spans="1:20">
      <c r="C146" s="210">
        <f>SUM(C137:C145)</f>
        <v>9.1872193504332262</v>
      </c>
      <c r="E146" s="267">
        <f>SUM(E137:E145)</f>
        <v>1378136.5531201973</v>
      </c>
      <c r="I146" s="347">
        <f>+E146/1000</f>
        <v>1378.1365531201973</v>
      </c>
    </row>
    <row r="147" spans="1:20">
      <c r="C147" s="210"/>
      <c r="E147" s="267"/>
      <c r="I147" s="354"/>
    </row>
    <row r="148" spans="1:20">
      <c r="A148" s="7">
        <v>6</v>
      </c>
      <c r="B148" s="190" t="s">
        <v>384</v>
      </c>
      <c r="C148" s="210"/>
      <c r="E148" s="267"/>
      <c r="I148" s="354"/>
    </row>
    <row r="149" spans="1:20">
      <c r="C149" s="210"/>
      <c r="E149" s="267"/>
      <c r="I149" s="354"/>
    </row>
    <row r="150" spans="1:20">
      <c r="B150" t="s">
        <v>350</v>
      </c>
    </row>
    <row r="151" spans="1:20">
      <c r="E151" s="7" t="s">
        <v>349</v>
      </c>
      <c r="F151" s="7" t="s">
        <v>314</v>
      </c>
      <c r="G151" s="7" t="s">
        <v>315</v>
      </c>
      <c r="L151" s="378"/>
      <c r="M151" s="379"/>
      <c r="N151" s="380"/>
      <c r="O151" s="269" t="s">
        <v>380</v>
      </c>
      <c r="P151" s="269" t="s">
        <v>381</v>
      </c>
      <c r="Q151" s="241" t="s">
        <v>382</v>
      </c>
    </row>
    <row r="152" spans="1:20">
      <c r="B152" s="152" t="s">
        <v>335</v>
      </c>
      <c r="C152" s="179"/>
      <c r="D152" s="202"/>
      <c r="E152" s="350">
        <f>+'Bal Mat Fus'!B58</f>
        <v>64.775450335585177</v>
      </c>
      <c r="F152" s="348">
        <f>+Q152*1000</f>
        <v>291771.73191771732</v>
      </c>
      <c r="G152" s="171">
        <f t="shared" ref="G152:G160" si="27">+E152*F152</f>
        <v>18899645.330163769</v>
      </c>
      <c r="L152" s="152" t="s">
        <v>335</v>
      </c>
      <c r="M152" s="179"/>
      <c r="N152" s="202"/>
      <c r="O152" s="383">
        <v>43.97</v>
      </c>
      <c r="P152" s="179">
        <f>118.7+16*2</f>
        <v>150.69999999999999</v>
      </c>
      <c r="Q152" s="171">
        <f>+O152/P152*1000</f>
        <v>291.77173191771732</v>
      </c>
    </row>
    <row r="153" spans="1:20">
      <c r="B153" s="135" t="s">
        <v>336</v>
      </c>
      <c r="C153" s="3"/>
      <c r="D153" s="184"/>
      <c r="E153" s="351">
        <f>+'Bal Mat Fus'!B61</f>
        <v>0.53962660686696617</v>
      </c>
      <c r="F153" s="334">
        <f t="shared" ref="F153:F160" si="28">+Q153*1000</f>
        <v>282428.03504380473</v>
      </c>
      <c r="G153" s="137">
        <f t="shared" si="27"/>
        <v>152405.68223479297</v>
      </c>
      <c r="L153" s="135" t="s">
        <v>336</v>
      </c>
      <c r="M153" s="3"/>
      <c r="N153" s="184"/>
      <c r="O153" s="381">
        <v>33.848999999999997</v>
      </c>
      <c r="P153" s="3">
        <f>55.85+32*2</f>
        <v>119.85</v>
      </c>
      <c r="Q153" s="137">
        <f>+O153/P153*1000</f>
        <v>282.42803504380475</v>
      </c>
    </row>
    <row r="154" spans="1:20">
      <c r="B154" s="135" t="s">
        <v>337</v>
      </c>
      <c r="C154" s="3"/>
      <c r="D154" s="184"/>
      <c r="E154" s="351">
        <f>+'Bal Mat Fus'!B64</f>
        <v>2.1602005721914042</v>
      </c>
      <c r="F154" s="334">
        <f t="shared" si="28"/>
        <v>102301.79028132992</v>
      </c>
      <c r="G154" s="137">
        <f t="shared" si="27"/>
        <v>220992.38590193391</v>
      </c>
      <c r="L154" s="135" t="s">
        <v>337</v>
      </c>
      <c r="M154" s="3"/>
      <c r="N154" s="184"/>
      <c r="O154" s="381">
        <f>+Factores!N31</f>
        <v>30</v>
      </c>
      <c r="P154" s="3">
        <f>55.85+118.7*2</f>
        <v>293.25</v>
      </c>
      <c r="Q154" s="137">
        <f>+O154/P154*1000</f>
        <v>102.30179028132991</v>
      </c>
    </row>
    <row r="155" spans="1:20">
      <c r="B155" s="135" t="s">
        <v>338</v>
      </c>
      <c r="C155" s="3"/>
      <c r="D155" s="184"/>
      <c r="E155" s="351">
        <f>+'Bal Mat Fus'!B73</f>
        <v>0</v>
      </c>
      <c r="F155" s="334">
        <f t="shared" si="28"/>
        <v>58746.642793196057</v>
      </c>
      <c r="G155" s="137">
        <f t="shared" si="27"/>
        <v>0</v>
      </c>
      <c r="L155" s="135" t="s">
        <v>338</v>
      </c>
      <c r="M155" s="3"/>
      <c r="N155" s="184"/>
      <c r="O155" s="381">
        <v>3.2810000000000001</v>
      </c>
      <c r="P155" s="3">
        <v>55.85</v>
      </c>
      <c r="Q155" s="137">
        <f t="shared" ref="Q155:Q160" si="29">+O155/P155*1000</f>
        <v>58.74664279319606</v>
      </c>
    </row>
    <row r="156" spans="1:20">
      <c r="B156" s="135" t="s">
        <v>339</v>
      </c>
      <c r="C156" s="3"/>
      <c r="D156" s="184"/>
      <c r="E156" s="351">
        <f>+'Bal Mat Fus'!B76</f>
        <v>32.535787987827376</v>
      </c>
      <c r="F156" s="334">
        <f t="shared" si="28"/>
        <v>310920.56421677809</v>
      </c>
      <c r="G156" s="137">
        <f t="shared" si="27"/>
        <v>10116045.558412759</v>
      </c>
      <c r="L156" s="135" t="s">
        <v>339</v>
      </c>
      <c r="M156" s="3"/>
      <c r="N156" s="184"/>
      <c r="O156" s="381">
        <v>41.881</v>
      </c>
      <c r="P156" s="3">
        <f>118.7+16</f>
        <v>134.69999999999999</v>
      </c>
      <c r="Q156" s="137">
        <f t="shared" si="29"/>
        <v>310.92056421677808</v>
      </c>
    </row>
    <row r="157" spans="1:20">
      <c r="B157" s="135" t="s">
        <v>340</v>
      </c>
      <c r="C157" s="3"/>
      <c r="D157" s="184"/>
      <c r="E157" s="351">
        <f>+'Bal Mat Fus'!B85</f>
        <v>9.6174743024906597</v>
      </c>
      <c r="F157" s="334">
        <f t="shared" si="28"/>
        <v>253850.97056981843</v>
      </c>
      <c r="G157" s="137">
        <f t="shared" si="27"/>
        <v>2441405.1861175415</v>
      </c>
      <c r="L157" s="135" t="s">
        <v>340</v>
      </c>
      <c r="M157" s="3"/>
      <c r="N157" s="184"/>
      <c r="O157" s="381">
        <v>40.54</v>
      </c>
      <c r="P157" s="3">
        <f>55.85*2+16*3</f>
        <v>159.69999999999999</v>
      </c>
      <c r="Q157" s="137">
        <f t="shared" si="29"/>
        <v>253.85097056981843</v>
      </c>
    </row>
    <row r="158" spans="1:20">
      <c r="B158" s="135" t="s">
        <v>341</v>
      </c>
      <c r="C158" s="3"/>
      <c r="D158" s="184"/>
      <c r="E158" s="351">
        <f>+'Bal Mat Fus'!B88</f>
        <v>0.99041925518842089</v>
      </c>
      <c r="F158" s="334">
        <f t="shared" si="28"/>
        <v>537230.34098816989</v>
      </c>
      <c r="G158" s="137">
        <f t="shared" si="27"/>
        <v>532083.27418612456</v>
      </c>
      <c r="L158" s="135" t="s">
        <v>341</v>
      </c>
      <c r="M158" s="3"/>
      <c r="N158" s="184"/>
      <c r="O158" s="381">
        <v>38.6</v>
      </c>
      <c r="P158" s="3">
        <f>55.85+16</f>
        <v>71.849999999999994</v>
      </c>
      <c r="Q158" s="137">
        <f t="shared" si="29"/>
        <v>537.23034098816993</v>
      </c>
    </row>
    <row r="159" spans="1:20">
      <c r="B159" s="135" t="s">
        <v>342</v>
      </c>
      <c r="C159" s="3"/>
      <c r="D159" s="184"/>
      <c r="E159" s="351">
        <f>+'Bal Mat Fus'!B94</f>
        <v>9.2812500000000006E-2</v>
      </c>
      <c r="F159" s="334">
        <f t="shared" si="28"/>
        <v>426210.00000000006</v>
      </c>
      <c r="G159" s="137">
        <f t="shared" si="27"/>
        <v>39557.615625000006</v>
      </c>
      <c r="L159" s="135" t="s">
        <v>342</v>
      </c>
      <c r="M159" s="3"/>
      <c r="N159" s="184"/>
      <c r="O159" s="381">
        <v>42.621000000000002</v>
      </c>
      <c r="P159" s="3">
        <v>100</v>
      </c>
      <c r="Q159" s="137">
        <f t="shared" si="29"/>
        <v>426.21000000000004</v>
      </c>
    </row>
    <row r="160" spans="1:20">
      <c r="B160" s="136" t="s">
        <v>343</v>
      </c>
      <c r="C160" s="182"/>
      <c r="D160" s="185"/>
      <c r="E160" s="352">
        <f>+'Bal Mat Fus'!B97</f>
        <v>2.4850719602977668E-3</v>
      </c>
      <c r="F160" s="349">
        <f t="shared" si="28"/>
        <v>286500.59311981022</v>
      </c>
      <c r="G160" s="138">
        <f t="shared" si="27"/>
        <v>711.97459057071967</v>
      </c>
      <c r="I160" s="7" t="s">
        <v>360</v>
      </c>
      <c r="L160" s="136" t="s">
        <v>343</v>
      </c>
      <c r="M160" s="182"/>
      <c r="N160" s="185"/>
      <c r="O160" s="382">
        <v>24.152000000000001</v>
      </c>
      <c r="P160" s="182">
        <f>24.3+12+16*3</f>
        <v>84.3</v>
      </c>
      <c r="Q160" s="138">
        <f t="shared" si="29"/>
        <v>286.50059311981022</v>
      </c>
    </row>
    <row r="161" spans="1:18">
      <c r="C161" s="210"/>
      <c r="E161" s="267"/>
      <c r="G161" s="267">
        <f>SUM(G152:G160)</f>
        <v>32402847.007232495</v>
      </c>
      <c r="I161" s="347">
        <f>+G161/1000</f>
        <v>32402.847007232496</v>
      </c>
    </row>
    <row r="162" spans="1:18">
      <c r="C162" s="210"/>
      <c r="E162" s="267"/>
      <c r="G162" s="267"/>
      <c r="I162" s="354"/>
    </row>
    <row r="163" spans="1:18">
      <c r="A163" s="7">
        <v>7</v>
      </c>
      <c r="B163" s="190" t="s">
        <v>322</v>
      </c>
    </row>
    <row r="164" spans="1:18">
      <c r="A164" s="7"/>
    </row>
    <row r="165" spans="1:18">
      <c r="A165" s="7"/>
      <c r="E165" s="7" t="s">
        <v>151</v>
      </c>
      <c r="F165" s="7" t="s">
        <v>314</v>
      </c>
      <c r="G165" s="7" t="s">
        <v>315</v>
      </c>
      <c r="O165" s="153" t="s">
        <v>380</v>
      </c>
      <c r="P165" s="162" t="s">
        <v>381</v>
      </c>
      <c r="Q165" s="154" t="s">
        <v>382</v>
      </c>
    </row>
    <row r="166" spans="1:18">
      <c r="B166" s="152" t="s">
        <v>401</v>
      </c>
      <c r="C166" s="179"/>
      <c r="D166" s="202"/>
      <c r="E166" s="345">
        <f>+'Bal Mat Fus'!G37</f>
        <v>8.2261622103692886</v>
      </c>
      <c r="F166" s="348">
        <f>+Q166*1000</f>
        <v>540555.5555555555</v>
      </c>
      <c r="G166" s="171">
        <f>+E166*F166</f>
        <v>4446697.6837162869</v>
      </c>
      <c r="L166" t="s">
        <v>387</v>
      </c>
      <c r="O166" s="397">
        <v>9.73</v>
      </c>
      <c r="P166" s="179">
        <v>18</v>
      </c>
      <c r="Q166" s="171">
        <f>+O166/P166*1000</f>
        <v>540.55555555555554</v>
      </c>
    </row>
    <row r="167" spans="1:18">
      <c r="B167" s="136" t="s">
        <v>388</v>
      </c>
      <c r="C167" s="182"/>
      <c r="D167" s="185"/>
      <c r="E167" s="346">
        <f>+'Bal Mat Fus'!G12+'Bal Mat Fus'!F64</f>
        <v>1.0416149505611838</v>
      </c>
      <c r="F167" s="349">
        <f>+Q167*1000</f>
        <v>14490.311710193766</v>
      </c>
      <c r="G167" s="138">
        <f>+E167*F167</f>
        <v>15093.325315629621</v>
      </c>
      <c r="L167" t="s">
        <v>388</v>
      </c>
      <c r="O167" s="398">
        <v>1.72</v>
      </c>
      <c r="P167" s="3">
        <v>118.7</v>
      </c>
      <c r="Q167" s="137">
        <f>+O167/P167*1000</f>
        <v>14.490311710193765</v>
      </c>
    </row>
    <row r="168" spans="1:18">
      <c r="B168" s="385" t="s">
        <v>389</v>
      </c>
      <c r="C168" s="3"/>
      <c r="D168" s="184"/>
      <c r="E168" s="21">
        <f>+'Bal Mat Fus'!F79</f>
        <v>2.8645836998356433</v>
      </c>
      <c r="F168" s="334">
        <f>+Q168*1000</f>
        <v>502598.36674090574</v>
      </c>
      <c r="G168" s="137">
        <f>+E168*F168</f>
        <v>1439735.0889300152</v>
      </c>
      <c r="L168" t="s">
        <v>389</v>
      </c>
      <c r="O168" s="905">
        <v>67.7</v>
      </c>
      <c r="P168" s="3">
        <f>118.7+16</f>
        <v>134.69999999999999</v>
      </c>
      <c r="Q168" s="137">
        <f>+O168/P168*1000</f>
        <v>502.59836674090576</v>
      </c>
      <c r="R168">
        <v>73.34</v>
      </c>
    </row>
    <row r="169" spans="1:18">
      <c r="B169" s="386" t="s">
        <v>390</v>
      </c>
      <c r="C169" s="182"/>
      <c r="D169" s="185"/>
      <c r="E169" s="346">
        <f>+'Bal Mat Fus'!C224</f>
        <v>3.0882349637650641</v>
      </c>
      <c r="F169" s="349">
        <f>+Q169*1000</f>
        <v>349701.39349701395</v>
      </c>
      <c r="G169" s="138">
        <f>+E169*F169</f>
        <v>1079960.0702748434</v>
      </c>
      <c r="I169" s="7" t="s">
        <v>360</v>
      </c>
      <c r="L169" t="s">
        <v>390</v>
      </c>
      <c r="O169" s="399">
        <v>52.7</v>
      </c>
      <c r="P169" s="182">
        <f>118.7+32</f>
        <v>150.69999999999999</v>
      </c>
      <c r="Q169" s="138">
        <f>+O169/P169*1000</f>
        <v>349.70139349701395</v>
      </c>
      <c r="R169">
        <v>52.7</v>
      </c>
    </row>
    <row r="170" spans="1:18">
      <c r="G170" s="267">
        <f>SUM(G166:G169)</f>
        <v>6981486.1682367753</v>
      </c>
      <c r="I170" s="347">
        <f>+G170/1000</f>
        <v>6981.4861682367755</v>
      </c>
    </row>
    <row r="171" spans="1:18">
      <c r="C171" s="210"/>
      <c r="E171" s="267"/>
      <c r="G171" s="267"/>
      <c r="I171" s="354"/>
    </row>
    <row r="172" spans="1:18">
      <c r="A172" s="7">
        <v>8</v>
      </c>
      <c r="B172" s="190" t="s">
        <v>330</v>
      </c>
    </row>
    <row r="174" spans="1:18">
      <c r="B174" t="s">
        <v>354</v>
      </c>
      <c r="D174" s="657">
        <f>+Factores!D40</f>
        <v>358.13752128000004</v>
      </c>
      <c r="E174" t="s">
        <v>268</v>
      </c>
    </row>
    <row r="175" spans="1:18">
      <c r="B175" t="s">
        <v>356</v>
      </c>
      <c r="D175" s="657">
        <f>+Factores!D41</f>
        <v>27</v>
      </c>
      <c r="E175" t="s">
        <v>334</v>
      </c>
    </row>
    <row r="176" spans="1:18">
      <c r="B176" t="s">
        <v>355</v>
      </c>
      <c r="D176" s="657">
        <f>+Factores!D42</f>
        <v>33</v>
      </c>
      <c r="E176" t="s">
        <v>334</v>
      </c>
    </row>
    <row r="177" spans="1:9">
      <c r="I177" s="7" t="s">
        <v>360</v>
      </c>
    </row>
    <row r="178" spans="1:9">
      <c r="B178" t="s">
        <v>357</v>
      </c>
      <c r="D178" s="323">
        <f>+D174*1000*(D176-D175)*1/1000</f>
        <v>2148.8251276800006</v>
      </c>
      <c r="E178" t="s">
        <v>624</v>
      </c>
      <c r="I178" s="347">
        <f>+D178*'Bal Mat Fus'!K11</f>
        <v>10947.7702213841</v>
      </c>
    </row>
    <row r="180" spans="1:9">
      <c r="A180" s="7">
        <v>9</v>
      </c>
      <c r="B180" s="190" t="s">
        <v>331</v>
      </c>
    </row>
    <row r="181" spans="1:9">
      <c r="I181" s="7" t="s">
        <v>360</v>
      </c>
    </row>
    <row r="182" spans="1:9">
      <c r="B182" t="s">
        <v>358</v>
      </c>
      <c r="D182" s="657">
        <f>+Perdidas!E27</f>
        <v>255.97030902540615</v>
      </c>
      <c r="E182" t="s">
        <v>624</v>
      </c>
      <c r="I182" s="347">
        <f>+D182*'Bal Mat Fus'!K11</f>
        <v>1304.1099020153219</v>
      </c>
    </row>
    <row r="184" spans="1:9">
      <c r="I184" s="7" t="s">
        <v>360</v>
      </c>
    </row>
    <row r="185" spans="1:9">
      <c r="B185" s="392" t="s">
        <v>359</v>
      </c>
      <c r="C185" s="393"/>
      <c r="D185" s="393"/>
      <c r="E185" s="393"/>
      <c r="F185" s="393"/>
      <c r="G185" s="393"/>
      <c r="H185" s="394"/>
      <c r="I185" s="355">
        <f ca="1">+I87+I101+I116+I130+I146+I178+I182+I161+I170</f>
        <v>113568.98812527327</v>
      </c>
    </row>
    <row r="188" spans="1:9" ht="16.8">
      <c r="A188" s="357" t="s">
        <v>362</v>
      </c>
    </row>
    <row r="190" spans="1:9" ht="15.6">
      <c r="A190" s="158" t="s">
        <v>323</v>
      </c>
    </row>
    <row r="192" spans="1:9">
      <c r="A192" s="7">
        <v>1</v>
      </c>
      <c r="B192" s="190" t="s">
        <v>327</v>
      </c>
    </row>
    <row r="193" spans="1:20">
      <c r="F193" s="7" t="s">
        <v>332</v>
      </c>
      <c r="I193" s="7" t="s">
        <v>360</v>
      </c>
    </row>
    <row r="194" spans="1:20">
      <c r="B194" t="s">
        <v>364</v>
      </c>
      <c r="D194" s="267">
        <f>+E116</f>
        <v>41841578.723734289</v>
      </c>
      <c r="E194" t="s">
        <v>315</v>
      </c>
      <c r="F194" s="400">
        <f>+D105</f>
        <v>1184.8443320281774</v>
      </c>
      <c r="I194" s="347">
        <f>+D194/1000</f>
        <v>41841.578723734288</v>
      </c>
    </row>
    <row r="195" spans="1:20">
      <c r="F195" s="266"/>
    </row>
    <row r="196" spans="1:20">
      <c r="A196" s="7">
        <v>2</v>
      </c>
      <c r="B196" s="190" t="s">
        <v>329</v>
      </c>
      <c r="F196" s="266"/>
    </row>
    <row r="197" spans="1:20">
      <c r="F197" s="264" t="s">
        <v>332</v>
      </c>
      <c r="I197" s="7" t="s">
        <v>360</v>
      </c>
    </row>
    <row r="198" spans="1:20">
      <c r="B198" t="s">
        <v>364</v>
      </c>
      <c r="D198" s="267">
        <f>+E146</f>
        <v>1378136.5531201973</v>
      </c>
      <c r="E198" t="s">
        <v>315</v>
      </c>
      <c r="F198" s="400">
        <f>+D134</f>
        <v>1184.8443320281774</v>
      </c>
      <c r="I198" s="347">
        <f>+D198/1000</f>
        <v>1378.1365531201973</v>
      </c>
    </row>
    <row r="200" spans="1:20">
      <c r="A200" s="7">
        <v>3</v>
      </c>
      <c r="B200" s="190" t="s">
        <v>363</v>
      </c>
    </row>
    <row r="202" spans="1:20">
      <c r="B202" s="266" t="s">
        <v>333</v>
      </c>
      <c r="D202" s="359">
        <f>+D33</f>
        <v>31</v>
      </c>
      <c r="E202" t="s">
        <v>334</v>
      </c>
      <c r="S202" s="360">
        <f>+D202+273</f>
        <v>304</v>
      </c>
      <c r="T202" t="s">
        <v>365</v>
      </c>
    </row>
    <row r="203" spans="1:20">
      <c r="L203" s="183"/>
      <c r="M203" s="364"/>
      <c r="N203" s="365" t="s">
        <v>366</v>
      </c>
      <c r="O203" s="366" t="s">
        <v>367</v>
      </c>
      <c r="P203" s="1438" t="s">
        <v>368</v>
      </c>
      <c r="Q203" s="1438"/>
      <c r="R203" s="1439"/>
      <c r="S203" s="366" t="s">
        <v>369</v>
      </c>
      <c r="T203" s="183"/>
    </row>
    <row r="204" spans="1:20">
      <c r="C204" s="7" t="s">
        <v>151</v>
      </c>
      <c r="D204" s="7" t="s">
        <v>314</v>
      </c>
      <c r="E204" s="7" t="s">
        <v>315</v>
      </c>
      <c r="L204" s="260"/>
      <c r="M204" s="367" t="s">
        <v>370</v>
      </c>
      <c r="N204" s="368" t="s">
        <v>371</v>
      </c>
      <c r="O204" s="368" t="s">
        <v>372</v>
      </c>
      <c r="P204" s="369" t="s">
        <v>373</v>
      </c>
      <c r="Q204" s="367" t="s">
        <v>374</v>
      </c>
      <c r="R204" s="370" t="s">
        <v>375</v>
      </c>
      <c r="S204" s="371" t="s">
        <v>376</v>
      </c>
      <c r="T204" s="372" t="s">
        <v>220</v>
      </c>
    </row>
    <row r="205" spans="1:20">
      <c r="B205" s="183" t="s">
        <v>245</v>
      </c>
      <c r="C205" s="374">
        <f>+'Bal Mat Fus'!I248*'Bal Mat Fus'!F247/'Bal Mat Fus'!F249*'Bal Mat Fus'!L110</f>
        <v>9.9348018862510816</v>
      </c>
      <c r="D205" s="348">
        <f>+T205*1000</f>
        <v>1316.1487327799362</v>
      </c>
      <c r="E205" s="171">
        <f>+C205*D205</f>
        <v>13075.67691300908</v>
      </c>
      <c r="L205" s="183" t="s">
        <v>245</v>
      </c>
      <c r="M205" s="361">
        <v>32</v>
      </c>
      <c r="N205" s="361">
        <v>298</v>
      </c>
      <c r="O205" s="348">
        <v>0</v>
      </c>
      <c r="P205" s="324">
        <v>7.16</v>
      </c>
      <c r="Q205" s="345">
        <v>1</v>
      </c>
      <c r="R205" s="350">
        <v>-0.4</v>
      </c>
      <c r="S205" s="324">
        <f>+(P205*($S$202-N205)+Q205*10^(-3)*($S$202^2-N205^2)/2-R205*10^5*($S$202^(-1)-N205^(-1)))+O205</f>
        <v>42.116759448957957</v>
      </c>
      <c r="T205" s="171">
        <f>+S205/M205</f>
        <v>1.3161487327799362</v>
      </c>
    </row>
    <row r="206" spans="1:20">
      <c r="B206" s="100" t="s">
        <v>219</v>
      </c>
      <c r="C206" s="375">
        <f>+'Bal Mat Fus'!I249*'Bal Mat Fus'!F247/'Bal Mat Fus'!F249*'Bal Mat Fus'!L110</f>
        <v>32.702056208909816</v>
      </c>
      <c r="D206" s="334">
        <f>+T206*1000</f>
        <v>1492.9328571428573</v>
      </c>
      <c r="E206" s="137">
        <f>+C206*D206</f>
        <v>48821.974210414046</v>
      </c>
      <c r="L206" s="100" t="s">
        <v>219</v>
      </c>
      <c r="M206" s="362">
        <v>28</v>
      </c>
      <c r="N206" s="362">
        <v>298</v>
      </c>
      <c r="O206" s="334">
        <v>0</v>
      </c>
      <c r="P206" s="325">
        <v>6.66</v>
      </c>
      <c r="Q206" s="21">
        <v>1.02</v>
      </c>
      <c r="R206" s="351">
        <v>0</v>
      </c>
      <c r="S206" s="325">
        <f>+(P206*($S$202-N206)+Q206*10^(-3)*($S$202^2-N206^2)/2-R206*10^5*($S$202^(-1)-N206^(-1)))+O206</f>
        <v>41.802120000000002</v>
      </c>
      <c r="T206" s="137">
        <f>+S206/M206</f>
        <v>1.4929328571428573</v>
      </c>
    </row>
    <row r="207" spans="1:20">
      <c r="B207" s="260" t="s">
        <v>150</v>
      </c>
      <c r="C207" s="373">
        <f>+'Bal Mat Fus'!I250*'Bal Mat Fus'!F247/'Bal Mat Fus'!F249*'Bal Mat Fus'!L110</f>
        <v>0</v>
      </c>
      <c r="D207" s="349">
        <f>+T207*1000</f>
        <v>61227.88203753352</v>
      </c>
      <c r="E207" s="138">
        <f>+C207*D207</f>
        <v>0</v>
      </c>
      <c r="I207" s="7" t="s">
        <v>360</v>
      </c>
      <c r="L207" s="260" t="s">
        <v>150</v>
      </c>
      <c r="M207" s="363">
        <v>18</v>
      </c>
      <c r="N207" s="363">
        <v>373</v>
      </c>
      <c r="O207" s="349">
        <v>1352.25</v>
      </c>
      <c r="P207" s="270"/>
      <c r="Q207" s="346"/>
      <c r="R207" s="352"/>
      <c r="S207" s="270">
        <f>+O207*S202/N207</f>
        <v>1102.1018766756033</v>
      </c>
      <c r="T207" s="138">
        <f>+S207/M207</f>
        <v>61.227882037533519</v>
      </c>
    </row>
    <row r="208" spans="1:20">
      <c r="C208" s="267">
        <f>+SUM(C205:C207)</f>
        <v>42.636858095160896</v>
      </c>
      <c r="D208" s="334"/>
      <c r="E208" s="334">
        <f>+SUM(E205:E207)</f>
        <v>61897.651123423129</v>
      </c>
      <c r="I208" s="347">
        <f>+E208/1000</f>
        <v>61.897651123423131</v>
      </c>
    </row>
    <row r="210" spans="1:17">
      <c r="A210" s="7">
        <v>4</v>
      </c>
      <c r="B210" s="190" t="s">
        <v>321</v>
      </c>
    </row>
    <row r="211" spans="1:17">
      <c r="A211" s="7"/>
      <c r="B211" s="190"/>
    </row>
    <row r="212" spans="1:17">
      <c r="A212" s="7"/>
      <c r="B212" t="s">
        <v>350</v>
      </c>
    </row>
    <row r="213" spans="1:17">
      <c r="A213" s="7"/>
      <c r="E213" s="7" t="s">
        <v>349</v>
      </c>
      <c r="F213" s="7" t="s">
        <v>314</v>
      </c>
      <c r="G213" s="7" t="s">
        <v>315</v>
      </c>
      <c r="L213" s="378"/>
      <c r="M213" s="379"/>
      <c r="N213" s="380"/>
      <c r="O213" s="269" t="s">
        <v>380</v>
      </c>
      <c r="P213" s="269" t="s">
        <v>381</v>
      </c>
      <c r="Q213" s="241" t="s">
        <v>382</v>
      </c>
    </row>
    <row r="214" spans="1:17">
      <c r="A214" s="7"/>
      <c r="B214" s="152" t="s">
        <v>346</v>
      </c>
      <c r="C214" s="179"/>
      <c r="D214" s="202"/>
      <c r="E214" s="350">
        <f>+'Bal Mat Fus'!T119</f>
        <v>2.8645836998356433</v>
      </c>
      <c r="F214" s="348">
        <f>+-Q214*1000</f>
        <v>522568.67112100974</v>
      </c>
      <c r="G214" s="171">
        <f>+E214*F214</f>
        <v>1496941.6973380176</v>
      </c>
      <c r="H214" t="s">
        <v>391</v>
      </c>
      <c r="L214" s="135" t="s">
        <v>346</v>
      </c>
      <c r="M214" s="3"/>
      <c r="N214" s="184"/>
      <c r="O214" s="381">
        <v>-70.39</v>
      </c>
      <c r="P214" s="3">
        <f>118.7+16</f>
        <v>134.69999999999999</v>
      </c>
      <c r="Q214" s="137">
        <f>+O214/P214*1000</f>
        <v>-522.56867112100974</v>
      </c>
    </row>
    <row r="215" spans="1:17">
      <c r="A215" s="7"/>
      <c r="B215" s="135" t="s">
        <v>347</v>
      </c>
      <c r="C215" s="3"/>
      <c r="D215" s="184"/>
      <c r="E215" s="351">
        <f>+'Bal Mat Fus'!T122</f>
        <v>3.0882349637650641</v>
      </c>
      <c r="F215" s="334">
        <f>+-Q215*1000</f>
        <v>1219847.3788984739</v>
      </c>
      <c r="G215" s="137">
        <f>+E215*F215</f>
        <v>3767175.3259714372</v>
      </c>
      <c r="H215" t="s">
        <v>391</v>
      </c>
      <c r="L215" s="135" t="s">
        <v>347</v>
      </c>
      <c r="M215" s="3"/>
      <c r="N215" s="184"/>
      <c r="O215" s="381">
        <v>-183.83099999999999</v>
      </c>
      <c r="P215" s="3">
        <f>118.7+32</f>
        <v>150.69999999999999</v>
      </c>
      <c r="Q215" s="137">
        <f>+O215/P215*1000</f>
        <v>-1219.8473788984738</v>
      </c>
    </row>
    <row r="216" spans="1:17">
      <c r="A216" s="7"/>
      <c r="B216" s="135" t="s">
        <v>352</v>
      </c>
      <c r="C216" s="3"/>
      <c r="D216" s="184"/>
      <c r="E216" s="351">
        <f>+'Bal Mat Fus'!V125</f>
        <v>13.722463448914505</v>
      </c>
      <c r="F216" s="334">
        <f>+-Q216*1000</f>
        <v>2415357.1428571427</v>
      </c>
      <c r="G216" s="137">
        <f>+E216*F216</f>
        <v>33144650.108931713</v>
      </c>
      <c r="L216" s="135" t="s">
        <v>352</v>
      </c>
      <c r="M216" s="3"/>
      <c r="N216" s="184"/>
      <c r="O216" s="381">
        <v>-67.63</v>
      </c>
      <c r="P216" s="3">
        <f>12+16</f>
        <v>28</v>
      </c>
      <c r="Q216" s="137">
        <f>+O216/P216*1000</f>
        <v>-2415.3571428571427</v>
      </c>
    </row>
    <row r="217" spans="1:17">
      <c r="A217" s="7"/>
      <c r="B217" s="135" t="s">
        <v>348</v>
      </c>
      <c r="C217" s="3"/>
      <c r="D217" s="184"/>
      <c r="E217" s="351">
        <f>+'Bal Mat Fus'!T128</f>
        <v>0.14408052915930677</v>
      </c>
      <c r="F217" s="334">
        <f>+-Q217*1000</f>
        <v>2697125</v>
      </c>
      <c r="G217" s="137">
        <f>+E217*F217</f>
        <v>388603.19720879529</v>
      </c>
      <c r="L217" s="135" t="s">
        <v>348</v>
      </c>
      <c r="M217" s="3"/>
      <c r="N217" s="184"/>
      <c r="O217" s="381">
        <v>-86.308000000000007</v>
      </c>
      <c r="P217" s="3">
        <v>32</v>
      </c>
      <c r="Q217" s="137">
        <f>+O217/P217*1000</f>
        <v>-2697.125</v>
      </c>
    </row>
    <row r="218" spans="1:17">
      <c r="A218" s="7"/>
      <c r="B218" s="136" t="s">
        <v>396</v>
      </c>
      <c r="C218" s="182"/>
      <c r="D218" s="185"/>
      <c r="E218" s="352">
        <f>+'Bal Mat Fus'!T131</f>
        <v>0.48909533451510079</v>
      </c>
      <c r="F218" s="349">
        <f>+-Q218*1000</f>
        <v>11375100</v>
      </c>
      <c r="G218" s="138">
        <f>+E218*F218</f>
        <v>5563508.3396427231</v>
      </c>
      <c r="I218" s="7" t="s">
        <v>360</v>
      </c>
      <c r="L218" s="136" t="s">
        <v>396</v>
      </c>
      <c r="M218" s="182"/>
      <c r="N218" s="185"/>
      <c r="O218" s="382">
        <v>-341.25299999999999</v>
      </c>
      <c r="P218" s="182">
        <f>24+6</f>
        <v>30</v>
      </c>
      <c r="Q218" s="138">
        <f>+O218/P218*1000</f>
        <v>-11375.1</v>
      </c>
    </row>
    <row r="219" spans="1:17">
      <c r="A219" s="7"/>
      <c r="G219" s="267">
        <f>SUM(G214:G218)</f>
        <v>44360878.669092685</v>
      </c>
      <c r="I219" s="347">
        <f>+G219/1000</f>
        <v>44360.878669092686</v>
      </c>
      <c r="O219" s="384"/>
    </row>
    <row r="220" spans="1:17">
      <c r="A220" s="7"/>
      <c r="G220" s="267"/>
      <c r="I220" s="354"/>
    </row>
    <row r="221" spans="1:17">
      <c r="A221" s="7"/>
      <c r="I221" s="7" t="s">
        <v>360</v>
      </c>
    </row>
    <row r="222" spans="1:17">
      <c r="A222" s="7"/>
      <c r="B222" s="408" t="s">
        <v>353</v>
      </c>
      <c r="C222" s="409"/>
      <c r="D222" s="409"/>
      <c r="E222" s="409"/>
      <c r="F222" s="409"/>
      <c r="G222" s="409"/>
      <c r="H222" s="410"/>
      <c r="I222" s="411">
        <f>+I219+I208+I198+I194</f>
        <v>87642.491597070592</v>
      </c>
    </row>
    <row r="223" spans="1:17">
      <c r="A223" s="7"/>
      <c r="G223" s="267"/>
      <c r="I223" s="354"/>
    </row>
    <row r="224" spans="1:17">
      <c r="A224" s="7"/>
    </row>
    <row r="225" spans="1:20" ht="15.6">
      <c r="A225" s="158" t="s">
        <v>324</v>
      </c>
    </row>
    <row r="226" spans="1:20">
      <c r="A226" s="7"/>
    </row>
    <row r="227" spans="1:20">
      <c r="A227" s="7">
        <v>1</v>
      </c>
      <c r="B227" s="190" t="s">
        <v>327</v>
      </c>
    </row>
    <row r="229" spans="1:20">
      <c r="B229" s="266" t="s">
        <v>333</v>
      </c>
      <c r="D229" s="330">
        <f>+macro!D11</f>
        <v>1619.4922659409988</v>
      </c>
      <c r="E229" t="s">
        <v>334</v>
      </c>
      <c r="S229" s="360">
        <f>+D229+273</f>
        <v>1892.4922659409988</v>
      </c>
      <c r="T229" t="s">
        <v>365</v>
      </c>
    </row>
    <row r="230" spans="1:20">
      <c r="A230" s="7"/>
      <c r="B230" s="266"/>
      <c r="D230" s="353"/>
      <c r="L230" s="183"/>
      <c r="M230" s="364"/>
      <c r="N230" s="365" t="s">
        <v>366</v>
      </c>
      <c r="O230" s="366" t="s">
        <v>367</v>
      </c>
      <c r="P230" s="1438" t="s">
        <v>368</v>
      </c>
      <c r="Q230" s="1438"/>
      <c r="R230" s="1439"/>
      <c r="S230" s="366" t="s">
        <v>369</v>
      </c>
      <c r="T230" s="183"/>
    </row>
    <row r="231" spans="1:20">
      <c r="A231" s="7"/>
      <c r="C231" s="7" t="s">
        <v>151</v>
      </c>
      <c r="D231" s="7" t="s">
        <v>314</v>
      </c>
      <c r="E231" s="7" t="s">
        <v>315</v>
      </c>
      <c r="L231" s="260"/>
      <c r="M231" s="367" t="s">
        <v>370</v>
      </c>
      <c r="N231" s="368" t="s">
        <v>371</v>
      </c>
      <c r="O231" s="368" t="s">
        <v>372</v>
      </c>
      <c r="P231" s="369" t="s">
        <v>373</v>
      </c>
      <c r="Q231" s="367" t="s">
        <v>374</v>
      </c>
      <c r="R231" s="370" t="s">
        <v>375</v>
      </c>
      <c r="S231" s="371" t="s">
        <v>376</v>
      </c>
      <c r="T231" s="372" t="s">
        <v>220</v>
      </c>
    </row>
    <row r="232" spans="1:20">
      <c r="A232" s="7"/>
      <c r="B232" s="183" t="s">
        <v>217</v>
      </c>
      <c r="C232" s="350">
        <f>+'Bal Mat Fus'!H237</f>
        <v>51.407018437872104</v>
      </c>
      <c r="D232" s="348">
        <f t="shared" ref="D232:D237" si="30">+T232*1000</f>
        <v>454937.83695387066</v>
      </c>
      <c r="E232" s="171">
        <f t="shared" ref="E232:E237" si="31">+C232*D232</f>
        <v>23386997.772373281</v>
      </c>
      <c r="L232" s="183" t="s">
        <v>217</v>
      </c>
      <c r="M232" s="374">
        <v>44</v>
      </c>
      <c r="N232" s="361">
        <v>298</v>
      </c>
      <c r="O232" s="348">
        <v>0</v>
      </c>
      <c r="P232" s="324">
        <v>10.55</v>
      </c>
      <c r="Q232" s="345">
        <v>2.16</v>
      </c>
      <c r="R232" s="350">
        <v>-2.04</v>
      </c>
      <c r="S232" s="324">
        <f t="shared" ref="S232:S237" si="32">+(P232*($S$229-N232)+Q232*10^(-3)*($S$229^2-N232^2)/2-R232*10^5*($S$229^(-1)-N232^(-1)))+O232</f>
        <v>20017.264825970309</v>
      </c>
      <c r="T232" s="171">
        <f t="shared" ref="T232:T237" si="33">+S232/M232</f>
        <v>454.93783695387066</v>
      </c>
    </row>
    <row r="233" spans="1:20">
      <c r="A233" s="7"/>
      <c r="B233" s="100" t="s">
        <v>195</v>
      </c>
      <c r="C233" s="351">
        <f>+'Bal Mat Fus'!H238</f>
        <v>2.0162160699915699</v>
      </c>
      <c r="D233" s="334">
        <f t="shared" si="30"/>
        <v>446676.30120747164</v>
      </c>
      <c r="E233" s="137">
        <f t="shared" si="31"/>
        <v>900595.93657889916</v>
      </c>
      <c r="L233" s="100" t="s">
        <v>195</v>
      </c>
      <c r="M233" s="375">
        <v>28</v>
      </c>
      <c r="N233" s="362">
        <v>298</v>
      </c>
      <c r="O233" s="334">
        <v>0</v>
      </c>
      <c r="P233" s="325">
        <v>6.79</v>
      </c>
      <c r="Q233" s="21">
        <v>0.98</v>
      </c>
      <c r="R233" s="351">
        <v>-0.11</v>
      </c>
      <c r="S233" s="325">
        <f t="shared" si="32"/>
        <v>12506.936433809205</v>
      </c>
      <c r="T233" s="137">
        <f t="shared" si="33"/>
        <v>446.67630120747162</v>
      </c>
    </row>
    <row r="234" spans="1:20">
      <c r="A234" s="7"/>
      <c r="B234" s="100" t="s">
        <v>219</v>
      </c>
      <c r="C234" s="351">
        <f>+'Bal Mat Fus'!H239</f>
        <v>75.170119175172061</v>
      </c>
      <c r="D234" s="334">
        <f t="shared" si="30"/>
        <v>442878.82890202728</v>
      </c>
      <c r="E234" s="137">
        <f t="shared" si="31"/>
        <v>33291254.348726027</v>
      </c>
      <c r="L234" s="100" t="s">
        <v>219</v>
      </c>
      <c r="M234" s="375">
        <v>28</v>
      </c>
      <c r="N234" s="362">
        <v>298</v>
      </c>
      <c r="O234" s="334">
        <v>0</v>
      </c>
      <c r="P234" s="325">
        <v>6.66</v>
      </c>
      <c r="Q234" s="21">
        <v>1.02</v>
      </c>
      <c r="R234" s="351">
        <v>0</v>
      </c>
      <c r="S234" s="325">
        <f t="shared" si="32"/>
        <v>12400.607209256765</v>
      </c>
      <c r="T234" s="137">
        <f t="shared" si="33"/>
        <v>442.87882890202729</v>
      </c>
    </row>
    <row r="235" spans="1:20">
      <c r="B235" s="100" t="s">
        <v>239</v>
      </c>
      <c r="C235" s="351">
        <f>+'Bal Mat Fus'!H240</f>
        <v>1.5996875193734519</v>
      </c>
      <c r="D235" s="334">
        <f t="shared" si="30"/>
        <v>321642.36195986712</v>
      </c>
      <c r="E235" s="137">
        <f t="shared" si="31"/>
        <v>514527.27212899778</v>
      </c>
      <c r="L235" s="100" t="s">
        <v>239</v>
      </c>
      <c r="M235" s="375">
        <v>64</v>
      </c>
      <c r="N235" s="362">
        <v>298</v>
      </c>
      <c r="O235" s="334">
        <v>0</v>
      </c>
      <c r="P235" s="325">
        <v>10.38</v>
      </c>
      <c r="Q235" s="21">
        <v>2.54</v>
      </c>
      <c r="R235" s="351">
        <v>-1.42</v>
      </c>
      <c r="S235" s="325">
        <f t="shared" si="32"/>
        <v>20585.111165431495</v>
      </c>
      <c r="T235" s="137">
        <f t="shared" si="33"/>
        <v>321.64236195986712</v>
      </c>
    </row>
    <row r="236" spans="1:20">
      <c r="B236" s="100" t="s">
        <v>150</v>
      </c>
      <c r="C236" s="351">
        <f>+'Bal Mat Fus'!H241</f>
        <v>24.912355729931615</v>
      </c>
      <c r="D236" s="334">
        <f t="shared" si="30"/>
        <v>926138.85822928266</v>
      </c>
      <c r="E236" s="137">
        <f t="shared" si="31"/>
        <v>23072300.691520594</v>
      </c>
      <c r="L236" s="100" t="s">
        <v>150</v>
      </c>
      <c r="M236" s="375">
        <v>18</v>
      </c>
      <c r="N236" s="362">
        <v>373</v>
      </c>
      <c r="O236" s="334">
        <v>1352.25</v>
      </c>
      <c r="P236" s="325">
        <v>7.17</v>
      </c>
      <c r="Q236" s="21">
        <v>2.56</v>
      </c>
      <c r="R236" s="351">
        <v>0.08</v>
      </c>
      <c r="S236" s="325">
        <f t="shared" si="32"/>
        <v>16670.499448127088</v>
      </c>
      <c r="T236" s="137">
        <f t="shared" si="33"/>
        <v>926.13885822928262</v>
      </c>
    </row>
    <row r="237" spans="1:20">
      <c r="B237" s="358" t="s">
        <v>245</v>
      </c>
      <c r="C237" s="352">
        <f>+'Bal Mat Fus'!H242</f>
        <v>3.03357142857145E-2</v>
      </c>
      <c r="D237" s="349">
        <f t="shared" si="30"/>
        <v>407807.31482269993</v>
      </c>
      <c r="E237" s="138">
        <f t="shared" si="31"/>
        <v>12371.126186085849</v>
      </c>
      <c r="I237" s="7" t="s">
        <v>360</v>
      </c>
      <c r="L237" s="358" t="s">
        <v>245</v>
      </c>
      <c r="M237" s="377">
        <v>32</v>
      </c>
      <c r="N237" s="363">
        <v>298</v>
      </c>
      <c r="O237" s="349">
        <v>0</v>
      </c>
      <c r="P237" s="270">
        <v>7.16</v>
      </c>
      <c r="Q237" s="346">
        <v>1</v>
      </c>
      <c r="R237" s="352">
        <v>-0.4</v>
      </c>
      <c r="S237" s="270">
        <f t="shared" si="32"/>
        <v>13049.834074326398</v>
      </c>
      <c r="T237" s="138">
        <f t="shared" si="33"/>
        <v>407.80731482269994</v>
      </c>
    </row>
    <row r="238" spans="1:20">
      <c r="C238" s="210">
        <f>SUM(C232:C237)</f>
        <v>155.13573264662651</v>
      </c>
      <c r="D238" s="267"/>
      <c r="E238" s="267">
        <f>SUM(E232:E237)</f>
        <v>81178047.147513881</v>
      </c>
      <c r="I238" s="347">
        <f>+E238/1000</f>
        <v>81178.047147513877</v>
      </c>
    </row>
    <row r="240" spans="1:20">
      <c r="A240" s="7">
        <v>2</v>
      </c>
      <c r="B240" s="190" t="s">
        <v>329</v>
      </c>
    </row>
    <row r="242" spans="1:20">
      <c r="B242" s="266" t="s">
        <v>333</v>
      </c>
      <c r="D242" s="331">
        <f>+D229</f>
        <v>1619.4922659409988</v>
      </c>
      <c r="E242" t="s">
        <v>334</v>
      </c>
      <c r="S242" s="360">
        <f>+D242+273</f>
        <v>1892.4922659409988</v>
      </c>
      <c r="T242" t="s">
        <v>365</v>
      </c>
    </row>
    <row r="243" spans="1:20">
      <c r="B243" s="266"/>
      <c r="D243" s="353"/>
      <c r="L243" s="183"/>
      <c r="M243" s="364"/>
      <c r="N243" s="365" t="s">
        <v>366</v>
      </c>
      <c r="O243" s="366" t="s">
        <v>367</v>
      </c>
      <c r="P243" s="1438" t="s">
        <v>368</v>
      </c>
      <c r="Q243" s="1438"/>
      <c r="R243" s="1439"/>
      <c r="S243" s="366" t="s">
        <v>369</v>
      </c>
      <c r="T243" s="183"/>
    </row>
    <row r="244" spans="1:20">
      <c r="C244" s="7" t="s">
        <v>151</v>
      </c>
      <c r="D244" s="7" t="s">
        <v>314</v>
      </c>
      <c r="E244" s="7" t="s">
        <v>315</v>
      </c>
      <c r="L244" s="260"/>
      <c r="M244" s="367" t="s">
        <v>370</v>
      </c>
      <c r="N244" s="368" t="s">
        <v>371</v>
      </c>
      <c r="O244" s="368" t="s">
        <v>372</v>
      </c>
      <c r="P244" s="369" t="s">
        <v>373</v>
      </c>
      <c r="Q244" s="367" t="s">
        <v>374</v>
      </c>
      <c r="R244" s="370" t="s">
        <v>375</v>
      </c>
      <c r="S244" s="371" t="s">
        <v>376</v>
      </c>
      <c r="T244" s="372" t="s">
        <v>220</v>
      </c>
    </row>
    <row r="245" spans="1:20">
      <c r="B245" s="183" t="s">
        <v>104</v>
      </c>
      <c r="C245" s="350">
        <f>+'Bal Mat Fus'!G223</f>
        <v>6.2930810184438428</v>
      </c>
      <c r="D245" s="348">
        <f>+T245*1000</f>
        <v>208239.44761776476</v>
      </c>
      <c r="E245" s="171">
        <f>+C245*D245</f>
        <v>1310467.7150945864</v>
      </c>
      <c r="L245" s="183" t="s">
        <v>104</v>
      </c>
      <c r="M245" s="361">
        <f>118.7+16*2</f>
        <v>150.69999999999999</v>
      </c>
      <c r="N245" s="361">
        <v>298</v>
      </c>
      <c r="O245" s="348">
        <v>0</v>
      </c>
      <c r="P245" s="324">
        <v>13.94</v>
      </c>
      <c r="Q245" s="345">
        <v>5.65</v>
      </c>
      <c r="R245" s="350">
        <v>-2.52</v>
      </c>
      <c r="S245" s="324">
        <f>+(P245*($S$242-N245)+Q245*10^(-3)*($S$242^2-N245^2)/2-R245*10^5*($S$242^(-1)-N245^(-1)))+O245</f>
        <v>31381.684755997147</v>
      </c>
      <c r="T245" s="171">
        <f t="shared" ref="T245:T251" si="34">+S245/M245</f>
        <v>208.23944761776477</v>
      </c>
    </row>
    <row r="246" spans="1:20">
      <c r="B246" s="100" t="s">
        <v>134</v>
      </c>
      <c r="C246" s="351">
        <f>+'Bal Mat Fus'!G224</f>
        <v>0.11408043342813783</v>
      </c>
      <c r="D246" s="334">
        <f t="shared" ref="D246:D251" si="35">+T246*1000</f>
        <v>304733.10554827307</v>
      </c>
      <c r="E246" s="137">
        <f t="shared" ref="E246:E251" si="36">+C246*D246</f>
        <v>34764.084760849466</v>
      </c>
      <c r="L246" s="100" t="s">
        <v>134</v>
      </c>
      <c r="M246" s="362">
        <v>71.849999999999994</v>
      </c>
      <c r="N246" s="362">
        <v>298</v>
      </c>
      <c r="O246" s="334">
        <v>0</v>
      </c>
      <c r="P246" s="325">
        <v>11.66</v>
      </c>
      <c r="Q246" s="21">
        <v>2</v>
      </c>
      <c r="R246" s="351">
        <v>-0.67</v>
      </c>
      <c r="S246" s="325">
        <f t="shared" ref="S246:S251" si="37">+(P246*($S$242-N246)+Q246*10^(-3)*($S$242^2-N246^2)/2-R246*10^5*($S$242^(-1)-N246^(-1)))+O246</f>
        <v>21895.073633643417</v>
      </c>
      <c r="T246" s="137">
        <f t="shared" si="34"/>
        <v>304.73310554827304</v>
      </c>
    </row>
    <row r="247" spans="1:20">
      <c r="B247" s="100" t="s">
        <v>6</v>
      </c>
      <c r="C247" s="351">
        <f>+'Bal Mat Fus'!G225</f>
        <v>2.2174735803454214E-2</v>
      </c>
      <c r="D247" s="334">
        <f t="shared" si="35"/>
        <v>52328.896758681432</v>
      </c>
      <c r="E247" s="137">
        <f t="shared" si="36"/>
        <v>1160.3794605099922</v>
      </c>
      <c r="L247" s="100" t="s">
        <v>6</v>
      </c>
      <c r="M247" s="362">
        <v>207.2</v>
      </c>
      <c r="N247" s="362">
        <v>298</v>
      </c>
      <c r="O247" s="334">
        <v>0</v>
      </c>
      <c r="P247" s="325">
        <v>6.8</v>
      </c>
      <c r="Q247" s="21">
        <v>0</v>
      </c>
      <c r="R247" s="351">
        <v>0</v>
      </c>
      <c r="S247" s="325">
        <f t="shared" si="37"/>
        <v>10842.547408398792</v>
      </c>
      <c r="T247" s="137">
        <f t="shared" si="34"/>
        <v>52.328896758681431</v>
      </c>
    </row>
    <row r="248" spans="1:20">
      <c r="B248" s="100" t="s">
        <v>8</v>
      </c>
      <c r="C248" s="351">
        <f>+'Bal Mat Fus'!G226</f>
        <v>4.0865216234629905E-3</v>
      </c>
      <c r="D248" s="334">
        <f t="shared" si="35"/>
        <v>93601.146974368967</v>
      </c>
      <c r="E248" s="137">
        <f t="shared" si="36"/>
        <v>382.50311109169627</v>
      </c>
      <c r="L248" s="100" t="s">
        <v>8</v>
      </c>
      <c r="M248" s="362">
        <v>121.8</v>
      </c>
      <c r="N248" s="362">
        <v>298</v>
      </c>
      <c r="O248" s="334">
        <v>0</v>
      </c>
      <c r="P248" s="325">
        <v>7.15</v>
      </c>
      <c r="Q248" s="21">
        <v>0</v>
      </c>
      <c r="R248" s="351">
        <v>0</v>
      </c>
      <c r="S248" s="325">
        <f t="shared" si="37"/>
        <v>11400.619701478141</v>
      </c>
      <c r="T248" s="137">
        <f t="shared" si="34"/>
        <v>93.601146974368973</v>
      </c>
    </row>
    <row r="249" spans="1:20">
      <c r="B249" s="100" t="s">
        <v>9</v>
      </c>
      <c r="C249" s="351">
        <f>+'Bal Mat Fus'!G227</f>
        <v>2.8913561185632927E-2</v>
      </c>
      <c r="D249" s="334">
        <f t="shared" si="35"/>
        <v>164619.63815208763</v>
      </c>
      <c r="E249" s="137">
        <f t="shared" si="36"/>
        <v>4759.7399800671383</v>
      </c>
      <c r="L249" s="100" t="s">
        <v>9</v>
      </c>
      <c r="M249" s="362">
        <v>74.900000000000006</v>
      </c>
      <c r="N249" s="362">
        <v>298</v>
      </c>
      <c r="O249" s="334">
        <v>0</v>
      </c>
      <c r="P249" s="325">
        <v>5.17</v>
      </c>
      <c r="Q249" s="21">
        <v>2.34</v>
      </c>
      <c r="R249" s="351">
        <v>0</v>
      </c>
      <c r="S249" s="325">
        <f t="shared" si="37"/>
        <v>12330.010897591364</v>
      </c>
      <c r="T249" s="137">
        <f t="shared" si="34"/>
        <v>164.61963815208762</v>
      </c>
    </row>
    <row r="250" spans="1:20">
      <c r="B250" s="100" t="s">
        <v>75</v>
      </c>
      <c r="C250" s="351">
        <f>+'Bal Mat Fus'!G228</f>
        <v>2.7529671340409179E-2</v>
      </c>
      <c r="D250" s="334">
        <f t="shared" si="35"/>
        <v>188325.85818200771</v>
      </c>
      <c r="E250" s="137">
        <f t="shared" si="36"/>
        <v>5184.5489806511814</v>
      </c>
      <c r="L250" s="100" t="s">
        <v>75</v>
      </c>
      <c r="M250" s="362">
        <v>63.5</v>
      </c>
      <c r="N250" s="362">
        <v>298</v>
      </c>
      <c r="O250" s="334">
        <v>0</v>
      </c>
      <c r="P250" s="325">
        <v>7.5</v>
      </c>
      <c r="Q250" s="21">
        <v>0</v>
      </c>
      <c r="R250" s="351">
        <v>0</v>
      </c>
      <c r="S250" s="325">
        <f t="shared" si="37"/>
        <v>11958.69199455749</v>
      </c>
      <c r="T250" s="137">
        <f t="shared" si="34"/>
        <v>188.32585818200772</v>
      </c>
    </row>
    <row r="251" spans="1:20">
      <c r="B251" s="260" t="s">
        <v>103</v>
      </c>
      <c r="C251" s="352">
        <f>+'Bal Mat Fus'!G229</f>
        <v>3.0376157634514205</v>
      </c>
      <c r="D251" s="349">
        <f t="shared" si="35"/>
        <v>437340.14350728731</v>
      </c>
      <c r="E251" s="138">
        <f t="shared" si="36"/>
        <v>1328471.3139078424</v>
      </c>
      <c r="I251" s="7" t="s">
        <v>360</v>
      </c>
      <c r="L251" s="260" t="s">
        <v>103</v>
      </c>
      <c r="M251" s="363">
        <f>+M145</f>
        <v>74</v>
      </c>
      <c r="N251" s="363">
        <v>298</v>
      </c>
      <c r="O251" s="349">
        <v>0</v>
      </c>
      <c r="P251" s="363">
        <f>+P145</f>
        <v>20.082666666666668</v>
      </c>
      <c r="Q251" s="363">
        <f>+Q145</f>
        <v>1.6286666666666667</v>
      </c>
      <c r="R251" s="363">
        <f>+R145</f>
        <v>-8.8520000000000003</v>
      </c>
      <c r="S251" s="270">
        <f t="shared" si="37"/>
        <v>32363.170619539262</v>
      </c>
      <c r="T251" s="138">
        <f t="shared" si="34"/>
        <v>437.34014350728734</v>
      </c>
    </row>
    <row r="252" spans="1:20">
      <c r="C252" s="210">
        <f>SUM(C245:C251)</f>
        <v>9.5274817052763616</v>
      </c>
      <c r="E252" s="267">
        <f>SUM(E245:E251)</f>
        <v>2685190.2852955982</v>
      </c>
      <c r="I252" s="347">
        <f>+E252/1000</f>
        <v>2685.1902852955982</v>
      </c>
    </row>
    <row r="254" spans="1:20">
      <c r="A254" s="7">
        <v>3</v>
      </c>
      <c r="B254" s="190" t="s">
        <v>331</v>
      </c>
    </row>
    <row r="255" spans="1:20">
      <c r="I255" s="7" t="s">
        <v>360</v>
      </c>
    </row>
    <row r="256" spans="1:20">
      <c r="B256" t="s">
        <v>358</v>
      </c>
      <c r="D256" s="657">
        <f>+Factores!E49</f>
        <v>5</v>
      </c>
      <c r="E256" t="s">
        <v>212</v>
      </c>
      <c r="I256" s="347">
        <f>+D256/100*I222</f>
        <v>4382.1245798535301</v>
      </c>
    </row>
    <row r="258" spans="1:17">
      <c r="I258" s="7" t="s">
        <v>360</v>
      </c>
    </row>
    <row r="259" spans="1:17">
      <c r="B259" s="408" t="s">
        <v>359</v>
      </c>
      <c r="C259" s="409"/>
      <c r="D259" s="409"/>
      <c r="E259" s="409"/>
      <c r="F259" s="409"/>
      <c r="G259" s="409"/>
      <c r="H259" s="410"/>
      <c r="I259" s="411">
        <f>+I256+I252+I238</f>
        <v>88245.362012663012</v>
      </c>
    </row>
    <row r="263" spans="1:17" ht="16.8">
      <c r="B263" s="357" t="s">
        <v>405</v>
      </c>
    </row>
    <row r="264" spans="1:17">
      <c r="B264" s="190"/>
      <c r="I264" s="7" t="s">
        <v>360</v>
      </c>
    </row>
    <row r="265" spans="1:17">
      <c r="A265" s="7">
        <v>1</v>
      </c>
      <c r="B265" s="190" t="s">
        <v>327</v>
      </c>
      <c r="E265" s="395">
        <f>+D229</f>
        <v>1619.4922659409988</v>
      </c>
      <c r="I265" s="347">
        <f>+I238</f>
        <v>81178.047147513877</v>
      </c>
    </row>
    <row r="266" spans="1:17">
      <c r="B266" s="190"/>
    </row>
    <row r="267" spans="1:17">
      <c r="B267" s="190"/>
      <c r="I267" s="7" t="s">
        <v>360</v>
      </c>
    </row>
    <row r="268" spans="1:17">
      <c r="A268" s="7">
        <v>2</v>
      </c>
      <c r="B268" s="190" t="s">
        <v>329</v>
      </c>
      <c r="E268" s="395">
        <f>+D242</f>
        <v>1619.4922659409988</v>
      </c>
      <c r="I268" s="347">
        <f>+I252</f>
        <v>2685.1902852955982</v>
      </c>
    </row>
    <row r="269" spans="1:17">
      <c r="A269" s="7"/>
      <c r="B269" s="190"/>
      <c r="E269" s="267"/>
      <c r="I269" s="267"/>
    </row>
    <row r="270" spans="1:17">
      <c r="A270" s="7">
        <v>3</v>
      </c>
      <c r="B270" s="190" t="s">
        <v>516</v>
      </c>
      <c r="E270" s="267"/>
      <c r="I270" s="267"/>
    </row>
    <row r="271" spans="1:17">
      <c r="A271" s="7"/>
      <c r="B271" s="190"/>
      <c r="E271" s="267"/>
      <c r="I271" s="267"/>
    </row>
    <row r="272" spans="1:17">
      <c r="A272" s="7"/>
      <c r="E272" s="7" t="s">
        <v>349</v>
      </c>
      <c r="F272" s="7" t="s">
        <v>314</v>
      </c>
      <c r="G272" s="7" t="s">
        <v>315</v>
      </c>
      <c r="I272" s="7" t="s">
        <v>360</v>
      </c>
      <c r="L272" s="378"/>
      <c r="M272" s="379"/>
      <c r="N272" s="380"/>
      <c r="O272" s="269" t="s">
        <v>380</v>
      </c>
      <c r="P272" s="269" t="s">
        <v>381</v>
      </c>
      <c r="Q272" s="241" t="s">
        <v>382</v>
      </c>
    </row>
    <row r="273" spans="1:20">
      <c r="A273" s="7"/>
      <c r="B273" s="378" t="s">
        <v>352</v>
      </c>
      <c r="C273" s="379"/>
      <c r="D273" s="380"/>
      <c r="E273" s="407">
        <f>+'Bal Mat Fus'!S239</f>
        <v>2.0162160699915699</v>
      </c>
      <c r="F273" s="405">
        <f>+-Q273*1000</f>
        <v>2415357.1428571427</v>
      </c>
      <c r="G273" s="406">
        <f>+E273*F273</f>
        <v>4869881.8861974953</v>
      </c>
      <c r="I273" s="347">
        <f>+G273/1000</f>
        <v>4869.8818861974951</v>
      </c>
      <c r="L273" s="378" t="s">
        <v>352</v>
      </c>
      <c r="M273" s="379"/>
      <c r="N273" s="380"/>
      <c r="O273" s="679">
        <v>-67.63</v>
      </c>
      <c r="P273" s="379">
        <f>12+16</f>
        <v>28</v>
      </c>
      <c r="Q273" s="406">
        <f>+O273/P273*1000</f>
        <v>-2415.3571428571427</v>
      </c>
    </row>
    <row r="274" spans="1:20">
      <c r="A274" s="7"/>
      <c r="B274" s="3"/>
      <c r="C274" s="3"/>
      <c r="D274" s="3"/>
      <c r="E274" s="21"/>
      <c r="F274" s="334"/>
      <c r="G274" s="334"/>
      <c r="L274" s="3"/>
      <c r="M274" s="3"/>
      <c r="N274" s="3"/>
      <c r="O274" s="381"/>
      <c r="P274" s="3"/>
      <c r="Q274" s="334"/>
    </row>
    <row r="275" spans="1:20">
      <c r="A275" s="7"/>
      <c r="I275" s="7" t="s">
        <v>360</v>
      </c>
    </row>
    <row r="276" spans="1:20">
      <c r="A276" s="7"/>
      <c r="B276" s="412" t="s">
        <v>406</v>
      </c>
      <c r="C276" s="413"/>
      <c r="D276" s="413"/>
      <c r="E276" s="413"/>
      <c r="F276" s="413"/>
      <c r="G276" s="413"/>
      <c r="H276" s="414"/>
      <c r="I276" s="415">
        <f>+I268+I265+I273</f>
        <v>88733.119319006975</v>
      </c>
    </row>
    <row r="278" spans="1:20">
      <c r="E278" s="7" t="s">
        <v>151</v>
      </c>
      <c r="F278" s="7" t="s">
        <v>314</v>
      </c>
      <c r="G278" s="7" t="s">
        <v>315</v>
      </c>
      <c r="I278" s="7" t="s">
        <v>360</v>
      </c>
    </row>
    <row r="279" spans="1:20">
      <c r="A279" s="7">
        <v>1</v>
      </c>
      <c r="B279" s="396" t="s">
        <v>401</v>
      </c>
      <c r="C279" s="396"/>
      <c r="D279" s="396"/>
      <c r="E279" s="407">
        <f>+'Bal Mat Fus'!O235*'Bal Mat Fus'!K11/1000</f>
        <v>110.61031741671265</v>
      </c>
      <c r="F279" s="405">
        <f>+F166</f>
        <v>540555.5555555555</v>
      </c>
      <c r="G279" s="406">
        <f>+E279*F279</f>
        <v>59791021.581367441</v>
      </c>
      <c r="I279" s="347">
        <f>+G279/1000</f>
        <v>59791.021581367444</v>
      </c>
    </row>
    <row r="281" spans="1:20">
      <c r="A281" s="7">
        <v>2</v>
      </c>
      <c r="B281" s="190" t="s">
        <v>327</v>
      </c>
    </row>
    <row r="283" spans="1:20">
      <c r="B283" s="266" t="s">
        <v>333</v>
      </c>
      <c r="D283" s="657">
        <f>+Factores!G42</f>
        <v>200</v>
      </c>
      <c r="E283" t="s">
        <v>334</v>
      </c>
      <c r="S283" s="360">
        <f>+D283+273</f>
        <v>473</v>
      </c>
      <c r="T283" t="s">
        <v>365</v>
      </c>
    </row>
    <row r="284" spans="1:20">
      <c r="A284" s="7"/>
      <c r="B284" s="266"/>
      <c r="D284" s="353"/>
      <c r="L284" s="183"/>
      <c r="M284" s="364"/>
      <c r="N284" s="365" t="s">
        <v>366</v>
      </c>
      <c r="O284" s="366" t="s">
        <v>367</v>
      </c>
      <c r="P284" s="1438" t="s">
        <v>368</v>
      </c>
      <c r="Q284" s="1438"/>
      <c r="R284" s="1439"/>
      <c r="S284" s="366" t="s">
        <v>369</v>
      </c>
      <c r="T284" s="183"/>
    </row>
    <row r="285" spans="1:20">
      <c r="A285" s="7"/>
      <c r="C285" s="7" t="s">
        <v>151</v>
      </c>
      <c r="D285" s="7" t="s">
        <v>314</v>
      </c>
      <c r="E285" s="7" t="s">
        <v>315</v>
      </c>
      <c r="L285" s="260"/>
      <c r="M285" s="367" t="s">
        <v>370</v>
      </c>
      <c r="N285" s="368" t="s">
        <v>371</v>
      </c>
      <c r="O285" s="368" t="s">
        <v>372</v>
      </c>
      <c r="P285" s="369" t="s">
        <v>373</v>
      </c>
      <c r="Q285" s="367" t="s">
        <v>374</v>
      </c>
      <c r="R285" s="370" t="s">
        <v>375</v>
      </c>
      <c r="S285" s="371" t="s">
        <v>376</v>
      </c>
      <c r="T285" s="372" t="s">
        <v>220</v>
      </c>
    </row>
    <row r="286" spans="1:20">
      <c r="A286" s="7"/>
      <c r="B286" s="183" t="s">
        <v>217</v>
      </c>
      <c r="C286" s="348">
        <f>+'Bal Mat Fus'!L237</f>
        <v>54.575357976430283</v>
      </c>
      <c r="D286" s="348">
        <f t="shared" ref="D286:D291" si="38">+T286*1000</f>
        <v>39515.792777334202</v>
      </c>
      <c r="E286" s="171">
        <f t="shared" ref="E286:E291" si="39">+C286*D286</f>
        <v>2156588.5365454522</v>
      </c>
      <c r="L286" s="183" t="s">
        <v>217</v>
      </c>
      <c r="M286" s="374">
        <v>44</v>
      </c>
      <c r="N286" s="361">
        <v>298</v>
      </c>
      <c r="O286" s="348">
        <v>0</v>
      </c>
      <c r="P286" s="324">
        <v>10.55</v>
      </c>
      <c r="Q286" s="345">
        <v>2.16</v>
      </c>
      <c r="R286" s="350">
        <v>-2.04</v>
      </c>
      <c r="S286" s="324">
        <f t="shared" ref="S286:S291" si="40">+(P286*($S$283-N286)+Q286*10^(-3)*($S$283^2-N286^2)/2-R286*10^5*($S$283^(-1)-N286^(-1)))+O286</f>
        <v>1738.6948822027048</v>
      </c>
      <c r="T286" s="171">
        <f t="shared" ref="T286:T291" si="41">+S286/M286</f>
        <v>39.515792777334198</v>
      </c>
    </row>
    <row r="287" spans="1:20">
      <c r="A287" s="7"/>
      <c r="B287" s="100" t="s">
        <v>195</v>
      </c>
      <c r="C287" s="334">
        <f>+'Bal Mat Fus'!L238</f>
        <v>0</v>
      </c>
      <c r="D287" s="334">
        <f t="shared" si="38"/>
        <v>44310.93972412985</v>
      </c>
      <c r="E287" s="137">
        <f t="shared" si="39"/>
        <v>0</v>
      </c>
      <c r="L287" s="100" t="s">
        <v>195</v>
      </c>
      <c r="M287" s="375">
        <v>28</v>
      </c>
      <c r="N287" s="362">
        <v>298</v>
      </c>
      <c r="O287" s="334">
        <v>0</v>
      </c>
      <c r="P287" s="325">
        <v>6.79</v>
      </c>
      <c r="Q287" s="21">
        <v>0.98</v>
      </c>
      <c r="R287" s="351">
        <v>-0.11</v>
      </c>
      <c r="S287" s="325">
        <f t="shared" si="40"/>
        <v>1240.7063122756358</v>
      </c>
      <c r="T287" s="137">
        <f t="shared" si="41"/>
        <v>44.310939724129852</v>
      </c>
    </row>
    <row r="288" spans="1:20">
      <c r="A288" s="7"/>
      <c r="B288" s="100" t="s">
        <v>219</v>
      </c>
      <c r="C288" s="334">
        <f>+'Bal Mat Fus'!L239</f>
        <v>85.232290316375085</v>
      </c>
      <c r="D288" s="334">
        <f t="shared" si="38"/>
        <v>44082.5625</v>
      </c>
      <c r="E288" s="137">
        <f t="shared" si="39"/>
        <v>3757257.7648897492</v>
      </c>
      <c r="L288" s="100" t="s">
        <v>219</v>
      </c>
      <c r="M288" s="375">
        <v>28</v>
      </c>
      <c r="N288" s="362">
        <v>298</v>
      </c>
      <c r="O288" s="334">
        <v>0</v>
      </c>
      <c r="P288" s="325">
        <v>6.66</v>
      </c>
      <c r="Q288" s="21">
        <v>1.02</v>
      </c>
      <c r="R288" s="351">
        <v>0</v>
      </c>
      <c r="S288" s="325">
        <f t="shared" si="40"/>
        <v>1234.3117500000001</v>
      </c>
      <c r="T288" s="137">
        <f t="shared" si="41"/>
        <v>44.082562500000002</v>
      </c>
    </row>
    <row r="289" spans="1:20">
      <c r="B289" s="100" t="s">
        <v>239</v>
      </c>
      <c r="C289" s="334">
        <f>+'Bal Mat Fus'!L240</f>
        <v>1.5996875193734519</v>
      </c>
      <c r="D289" s="334">
        <f t="shared" si="38"/>
        <v>28305.564052756134</v>
      </c>
      <c r="E289" s="137">
        <f t="shared" si="39"/>
        <v>45280.057544019808</v>
      </c>
      <c r="L289" s="100" t="s">
        <v>239</v>
      </c>
      <c r="M289" s="375">
        <v>64</v>
      </c>
      <c r="N289" s="362">
        <v>298</v>
      </c>
      <c r="O289" s="334">
        <v>0</v>
      </c>
      <c r="P289" s="325">
        <v>10.38</v>
      </c>
      <c r="Q289" s="21">
        <v>2.54</v>
      </c>
      <c r="R289" s="351">
        <v>-1.42</v>
      </c>
      <c r="S289" s="325">
        <f t="shared" si="40"/>
        <v>1811.5560993763925</v>
      </c>
      <c r="T289" s="137">
        <f t="shared" si="41"/>
        <v>28.305564052756132</v>
      </c>
    </row>
    <row r="290" spans="1:20">
      <c r="B290" s="100" t="s">
        <v>150</v>
      </c>
      <c r="C290" s="334">
        <f>+'Bal Mat Fus'!L241</f>
        <v>135.52267314664425</v>
      </c>
      <c r="D290" s="334">
        <f t="shared" si="38"/>
        <v>121226.24455226245</v>
      </c>
      <c r="E290" s="137">
        <f t="shared" si="39"/>
        <v>16428904.717251427</v>
      </c>
      <c r="L290" s="100" t="s">
        <v>150</v>
      </c>
      <c r="M290" s="375">
        <v>18</v>
      </c>
      <c r="N290" s="362">
        <v>373</v>
      </c>
      <c r="O290" s="334">
        <v>1352.25</v>
      </c>
      <c r="P290" s="325">
        <v>7.17</v>
      </c>
      <c r="Q290" s="21">
        <v>2.56</v>
      </c>
      <c r="R290" s="351">
        <v>0.08</v>
      </c>
      <c r="S290" s="325">
        <f t="shared" si="40"/>
        <v>2182.0724019407239</v>
      </c>
      <c r="T290" s="137">
        <f t="shared" si="41"/>
        <v>121.22624455226244</v>
      </c>
    </row>
    <row r="291" spans="1:20">
      <c r="B291" s="358" t="s">
        <v>245</v>
      </c>
      <c r="C291" s="349">
        <f>+'Bal Mat Fus'!L242</f>
        <v>1.9350743645655903</v>
      </c>
      <c r="D291" s="349">
        <f t="shared" si="38"/>
        <v>39712.52838359501</v>
      </c>
      <c r="E291" s="138">
        <f t="shared" si="39"/>
        <v>76846.69562717808</v>
      </c>
      <c r="I291" s="7" t="s">
        <v>360</v>
      </c>
      <c r="L291" s="358" t="s">
        <v>245</v>
      </c>
      <c r="M291" s="377">
        <v>32</v>
      </c>
      <c r="N291" s="363">
        <v>298</v>
      </c>
      <c r="O291" s="349">
        <v>0</v>
      </c>
      <c r="P291" s="270">
        <v>7.16</v>
      </c>
      <c r="Q291" s="346">
        <v>1</v>
      </c>
      <c r="R291" s="352">
        <v>-0.4</v>
      </c>
      <c r="S291" s="270">
        <f t="shared" si="40"/>
        <v>1270.8009082750402</v>
      </c>
      <c r="T291" s="138">
        <f t="shared" si="41"/>
        <v>39.712528383595007</v>
      </c>
    </row>
    <row r="292" spans="1:20">
      <c r="C292" s="210">
        <f>SUM(C286:C291)</f>
        <v>278.86508332338866</v>
      </c>
      <c r="D292" s="267"/>
      <c r="E292" s="267">
        <f>SUM(E286:E291)</f>
        <v>22464877.771857828</v>
      </c>
      <c r="I292" s="347">
        <f>+E292/1000</f>
        <v>22464.877771857828</v>
      </c>
    </row>
    <row r="294" spans="1:20">
      <c r="A294" s="7">
        <v>3</v>
      </c>
      <c r="B294" s="190" t="s">
        <v>329</v>
      </c>
    </row>
    <row r="296" spans="1:20">
      <c r="B296" s="266" t="s">
        <v>333</v>
      </c>
      <c r="D296" s="331">
        <f>+D283</f>
        <v>200</v>
      </c>
      <c r="E296" t="s">
        <v>334</v>
      </c>
      <c r="S296" s="360">
        <f>+D296+273</f>
        <v>473</v>
      </c>
      <c r="T296" t="s">
        <v>365</v>
      </c>
    </row>
    <row r="297" spans="1:20">
      <c r="B297" s="266"/>
      <c r="D297" s="353"/>
      <c r="L297" s="183"/>
      <c r="M297" s="364"/>
      <c r="N297" s="365" t="s">
        <v>366</v>
      </c>
      <c r="O297" s="366" t="s">
        <v>367</v>
      </c>
      <c r="P297" s="1438" t="s">
        <v>368</v>
      </c>
      <c r="Q297" s="1438"/>
      <c r="R297" s="1439"/>
      <c r="S297" s="366" t="s">
        <v>369</v>
      </c>
      <c r="T297" s="183"/>
    </row>
    <row r="298" spans="1:20">
      <c r="C298" s="7" t="s">
        <v>151</v>
      </c>
      <c r="D298" s="7" t="s">
        <v>314</v>
      </c>
      <c r="E298" s="7" t="s">
        <v>315</v>
      </c>
      <c r="L298" s="260"/>
      <c r="M298" s="367" t="s">
        <v>370</v>
      </c>
      <c r="N298" s="368" t="s">
        <v>371</v>
      </c>
      <c r="O298" s="368" t="s">
        <v>372</v>
      </c>
      <c r="P298" s="369" t="s">
        <v>373</v>
      </c>
      <c r="Q298" s="367" t="s">
        <v>374</v>
      </c>
      <c r="R298" s="370" t="s">
        <v>375</v>
      </c>
      <c r="S298" s="371" t="s">
        <v>376</v>
      </c>
      <c r="T298" s="372" t="s">
        <v>220</v>
      </c>
    </row>
    <row r="299" spans="1:20">
      <c r="B299" s="183" t="s">
        <v>104</v>
      </c>
      <c r="C299" s="348">
        <f>+C245</f>
        <v>6.2930810184438428</v>
      </c>
      <c r="D299" s="348">
        <f>+T299*1000</f>
        <v>16640.976092453569</v>
      </c>
      <c r="E299" s="171">
        <f>+C299*D299</f>
        <v>104723.01077579735</v>
      </c>
      <c r="L299" s="183" t="s">
        <v>104</v>
      </c>
      <c r="M299" s="361">
        <f>118.7+16*2</f>
        <v>150.69999999999999</v>
      </c>
      <c r="N299" s="361">
        <v>298</v>
      </c>
      <c r="O299" s="348">
        <v>0</v>
      </c>
      <c r="P299" s="324">
        <v>13.94</v>
      </c>
      <c r="Q299" s="345">
        <v>5.65</v>
      </c>
      <c r="R299" s="350">
        <v>-2.52</v>
      </c>
      <c r="S299" s="324">
        <f t="shared" ref="S299:S305" si="42">+(P299*($S$296-N299)+Q299*10^(-3)*($S$296^2-N299^2)/2-R299*10^5*($S$296^(-1)-N299^(-1)))+O299</f>
        <v>2507.7950971327527</v>
      </c>
      <c r="T299" s="171">
        <f t="shared" ref="T299:T305" si="43">+S299/M299</f>
        <v>16.64097609245357</v>
      </c>
    </row>
    <row r="300" spans="1:20">
      <c r="B300" s="100" t="s">
        <v>134</v>
      </c>
      <c r="C300" s="334">
        <f t="shared" ref="C300:C305" si="44">+C246</f>
        <v>0.11408043342813783</v>
      </c>
      <c r="D300" s="334">
        <f t="shared" ref="D300:D305" si="45">+T300*1000</f>
        <v>29119.580151157861</v>
      </c>
      <c r="E300" s="137">
        <f t="shared" ref="E300:E305" si="46">+C300*D300</f>
        <v>3321.9743248894879</v>
      </c>
      <c r="L300" s="100" t="s">
        <v>134</v>
      </c>
      <c r="M300" s="362">
        <v>71.849999999999994</v>
      </c>
      <c r="N300" s="362">
        <v>298</v>
      </c>
      <c r="O300" s="334">
        <v>0</v>
      </c>
      <c r="P300" s="325">
        <v>11.66</v>
      </c>
      <c r="Q300" s="21">
        <v>2</v>
      </c>
      <c r="R300" s="351">
        <v>-0.67</v>
      </c>
      <c r="S300" s="325">
        <f t="shared" si="42"/>
        <v>2092.2418338606922</v>
      </c>
      <c r="T300" s="137">
        <f t="shared" si="43"/>
        <v>29.119580151157862</v>
      </c>
    </row>
    <row r="301" spans="1:20">
      <c r="B301" s="100" t="s">
        <v>6</v>
      </c>
      <c r="C301" s="334">
        <f t="shared" si="44"/>
        <v>2.2174735803454214E-2</v>
      </c>
      <c r="D301" s="334">
        <f t="shared" si="45"/>
        <v>5743.2432432432443</v>
      </c>
      <c r="E301" s="137">
        <f t="shared" si="46"/>
        <v>127.35490157389246</v>
      </c>
      <c r="L301" s="100" t="s">
        <v>6</v>
      </c>
      <c r="M301" s="362">
        <v>207.2</v>
      </c>
      <c r="N301" s="362">
        <v>298</v>
      </c>
      <c r="O301" s="334">
        <v>0</v>
      </c>
      <c r="P301" s="325">
        <v>6.8</v>
      </c>
      <c r="Q301" s="21">
        <v>0</v>
      </c>
      <c r="R301" s="351">
        <v>0</v>
      </c>
      <c r="S301" s="325">
        <f t="shared" si="42"/>
        <v>1190</v>
      </c>
      <c r="T301" s="137">
        <f t="shared" si="43"/>
        <v>5.7432432432432439</v>
      </c>
    </row>
    <row r="302" spans="1:20">
      <c r="B302" s="100" t="s">
        <v>8</v>
      </c>
      <c r="C302" s="334">
        <f t="shared" si="44"/>
        <v>4.0865216234629905E-3</v>
      </c>
      <c r="D302" s="334">
        <f t="shared" si="45"/>
        <v>10272.988505747127</v>
      </c>
      <c r="E302" s="137">
        <f t="shared" si="46"/>
        <v>41.980789666322394</v>
      </c>
      <c r="L302" s="100" t="s">
        <v>8</v>
      </c>
      <c r="M302" s="362">
        <v>121.8</v>
      </c>
      <c r="N302" s="362">
        <v>298</v>
      </c>
      <c r="O302" s="334">
        <v>0</v>
      </c>
      <c r="P302" s="325">
        <v>7.15</v>
      </c>
      <c r="Q302" s="21">
        <v>0</v>
      </c>
      <c r="R302" s="351">
        <v>0</v>
      </c>
      <c r="S302" s="325">
        <f t="shared" si="42"/>
        <v>1251.25</v>
      </c>
      <c r="T302" s="137">
        <f t="shared" si="43"/>
        <v>10.272988505747128</v>
      </c>
    </row>
    <row r="303" spans="1:20">
      <c r="B303" s="100" t="s">
        <v>9</v>
      </c>
      <c r="C303" s="334">
        <f t="shared" si="44"/>
        <v>2.8913561185632927E-2</v>
      </c>
      <c r="D303" s="334">
        <f t="shared" si="45"/>
        <v>14187.079439252337</v>
      </c>
      <c r="E303" s="137">
        <f t="shared" si="46"/>
        <v>410.19898941225733</v>
      </c>
      <c r="L303" s="100" t="s">
        <v>9</v>
      </c>
      <c r="M303" s="362">
        <v>74.900000000000006</v>
      </c>
      <c r="N303" s="362">
        <v>298</v>
      </c>
      <c r="O303" s="334">
        <v>0</v>
      </c>
      <c r="P303" s="325">
        <v>5.17</v>
      </c>
      <c r="Q303" s="21">
        <v>2.34</v>
      </c>
      <c r="R303" s="351">
        <v>0</v>
      </c>
      <c r="S303" s="325">
        <f t="shared" si="42"/>
        <v>1062.6122500000001</v>
      </c>
      <c r="T303" s="137">
        <f t="shared" si="43"/>
        <v>14.187079439252336</v>
      </c>
    </row>
    <row r="304" spans="1:20">
      <c r="B304" s="100" t="s">
        <v>75</v>
      </c>
      <c r="C304" s="334">
        <f t="shared" si="44"/>
        <v>2.7529671340409179E-2</v>
      </c>
      <c r="D304" s="334">
        <f t="shared" si="45"/>
        <v>20669.291338582676</v>
      </c>
      <c r="E304" s="137">
        <f t="shared" si="46"/>
        <v>569.01879739034712</v>
      </c>
      <c r="L304" s="100" t="s">
        <v>75</v>
      </c>
      <c r="M304" s="362">
        <v>63.5</v>
      </c>
      <c r="N304" s="362">
        <v>298</v>
      </c>
      <c r="O304" s="334">
        <v>0</v>
      </c>
      <c r="P304" s="325">
        <v>7.5</v>
      </c>
      <c r="Q304" s="21">
        <v>0</v>
      </c>
      <c r="R304" s="351">
        <v>0</v>
      </c>
      <c r="S304" s="325">
        <f t="shared" si="42"/>
        <v>1312.5</v>
      </c>
      <c r="T304" s="137">
        <f t="shared" si="43"/>
        <v>20.669291338582678</v>
      </c>
    </row>
    <row r="305" spans="1:20">
      <c r="B305" s="260" t="s">
        <v>103</v>
      </c>
      <c r="C305" s="349">
        <f t="shared" si="44"/>
        <v>3.0376157634514205</v>
      </c>
      <c r="D305" s="349">
        <f t="shared" si="45"/>
        <v>34126.07522693654</v>
      </c>
      <c r="E305" s="138">
        <f t="shared" si="46"/>
        <v>103661.90405407145</v>
      </c>
      <c r="I305" s="7" t="s">
        <v>360</v>
      </c>
      <c r="L305" s="260" t="s">
        <v>103</v>
      </c>
      <c r="M305" s="363">
        <f>+M251</f>
        <v>74</v>
      </c>
      <c r="N305" s="363">
        <v>298</v>
      </c>
      <c r="O305" s="349">
        <v>0</v>
      </c>
      <c r="P305" s="363">
        <f>+P251</f>
        <v>20.082666666666668</v>
      </c>
      <c r="Q305" s="363">
        <f>+Q251</f>
        <v>1.6286666666666667</v>
      </c>
      <c r="R305" s="373">
        <f>+R251</f>
        <v>-8.8520000000000003</v>
      </c>
      <c r="S305" s="270">
        <f t="shared" si="42"/>
        <v>2525.3295667933044</v>
      </c>
      <c r="T305" s="138">
        <f t="shared" si="43"/>
        <v>34.126075226936543</v>
      </c>
    </row>
    <row r="306" spans="1:20">
      <c r="C306" s="210">
        <f>SUM(C299:C305)</f>
        <v>9.5274817052763616</v>
      </c>
      <c r="E306" s="267">
        <f>SUM(E299:E305)</f>
        <v>212855.4426328011</v>
      </c>
      <c r="I306" s="347">
        <f>+E306/1000</f>
        <v>212.8554426328011</v>
      </c>
    </row>
    <row r="308" spans="1:20">
      <c r="A308" s="7">
        <v>3</v>
      </c>
      <c r="B308" s="190" t="s">
        <v>331</v>
      </c>
    </row>
    <row r="309" spans="1:20">
      <c r="I309" s="7" t="s">
        <v>360</v>
      </c>
    </row>
    <row r="310" spans="1:20">
      <c r="B310" t="s">
        <v>358</v>
      </c>
      <c r="D310" s="657">
        <f>+Factores!F49</f>
        <v>3</v>
      </c>
      <c r="E310" t="s">
        <v>212</v>
      </c>
      <c r="I310" s="347">
        <f>+D310/100*I276</f>
        <v>2661.993579570209</v>
      </c>
    </row>
    <row r="312" spans="1:20">
      <c r="I312" s="7" t="s">
        <v>360</v>
      </c>
    </row>
    <row r="313" spans="1:20">
      <c r="B313" s="412" t="s">
        <v>359</v>
      </c>
      <c r="C313" s="413"/>
      <c r="D313" s="413"/>
      <c r="E313" s="413"/>
      <c r="F313" s="413"/>
      <c r="G313" s="413"/>
      <c r="H313" s="414"/>
      <c r="I313" s="415">
        <f>+I310+I306+I292+I279</f>
        <v>85130.748375428288</v>
      </c>
    </row>
  </sheetData>
  <mergeCells count="13">
    <mergeCell ref="P297:R297"/>
    <mergeCell ref="P230:R230"/>
    <mergeCell ref="P243:R243"/>
    <mergeCell ref="P106:R106"/>
    <mergeCell ref="P121:R121"/>
    <mergeCell ref="P135:R135"/>
    <mergeCell ref="P203:R203"/>
    <mergeCell ref="P20:R20"/>
    <mergeCell ref="P34:R34"/>
    <mergeCell ref="P44:R44"/>
    <mergeCell ref="P92:R92"/>
    <mergeCell ref="P78:R78"/>
    <mergeCell ref="P284:R284"/>
  </mergeCells>
  <phoneticPr fontId="10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EB17-7E69-4F1F-9EC9-D3CC470D0B81}">
  <sheetPr codeName="Sheet15">
    <pageSetUpPr fitToPage="1"/>
  </sheetPr>
  <dimension ref="A1:Z50"/>
  <sheetViews>
    <sheetView zoomScale="80" zoomScaleNormal="80" workbookViewId="0">
      <selection activeCell="D21" sqref="D21"/>
    </sheetView>
  </sheetViews>
  <sheetFormatPr baseColWidth="10" defaultColWidth="8" defaultRowHeight="13.2"/>
  <cols>
    <col min="1" max="1" width="2.6640625" style="512" customWidth="1"/>
    <col min="2" max="2" width="3" style="512" customWidth="1"/>
    <col min="3" max="3" width="27.5546875" style="512" customWidth="1"/>
    <col min="4" max="4" width="9.109375" style="512" customWidth="1"/>
    <col min="5" max="5" width="8" style="512" customWidth="1"/>
    <col min="6" max="6" width="5.6640625" style="512" customWidth="1"/>
    <col min="7" max="7" width="17" style="512" customWidth="1"/>
    <col min="8" max="8" width="9.6640625" style="512" customWidth="1"/>
    <col min="9" max="9" width="8.44140625" style="512" customWidth="1"/>
    <col min="10" max="10" width="4.109375" style="512" customWidth="1"/>
    <col min="11" max="11" width="3.6640625" style="512" customWidth="1"/>
    <col min="12" max="12" width="32.6640625" style="512" customWidth="1"/>
    <col min="13" max="13" width="10.33203125" style="512" customWidth="1"/>
    <col min="14" max="14" width="8.88671875" style="512" customWidth="1"/>
    <col min="15" max="15" width="6.33203125" style="512" customWidth="1"/>
    <col min="16" max="16" width="31.5546875" style="512" customWidth="1"/>
    <col min="17" max="17" width="10.109375" style="512" customWidth="1"/>
    <col min="18" max="18" width="8.44140625" style="512" customWidth="1"/>
    <col min="19" max="19" width="4.109375" style="512" customWidth="1"/>
    <col min="20" max="21" width="8" style="512" customWidth="1"/>
    <col min="22" max="22" width="9.109375" style="512" bestFit="1" customWidth="1"/>
    <col min="23" max="23" width="27.5546875" style="512" customWidth="1"/>
    <col min="24" max="16384" width="8" style="512"/>
  </cols>
  <sheetData>
    <row r="1" spans="2:26" s="511" customFormat="1" ht="16.2" thickBot="1"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</row>
    <row r="2" spans="2:26" ht="22.5" customHeight="1">
      <c r="B2" s="1440" t="s">
        <v>452</v>
      </c>
      <c r="C2" s="1441"/>
      <c r="D2" s="1441"/>
      <c r="E2" s="1441"/>
      <c r="F2" s="1441"/>
      <c r="G2" s="1441"/>
      <c r="H2" s="1441"/>
      <c r="I2" s="1441"/>
      <c r="J2" s="1441"/>
      <c r="K2" s="1441"/>
      <c r="L2" s="1441"/>
      <c r="M2" s="1441"/>
      <c r="N2" s="1441"/>
      <c r="O2" s="1441"/>
      <c r="P2" s="1441"/>
      <c r="Q2" s="1441"/>
      <c r="R2" s="1441"/>
      <c r="S2" s="1442"/>
      <c r="U2" s="651" t="s">
        <v>536</v>
      </c>
    </row>
    <row r="3" spans="2:26" ht="23.25" customHeight="1" thickBot="1">
      <c r="B3" s="1443"/>
      <c r="C3" s="1444"/>
      <c r="D3" s="1444"/>
      <c r="E3" s="1444"/>
      <c r="F3" s="1444"/>
      <c r="G3" s="1444"/>
      <c r="H3" s="1444"/>
      <c r="I3" s="1444"/>
      <c r="J3" s="1444"/>
      <c r="K3" s="1444"/>
      <c r="L3" s="1444"/>
      <c r="M3" s="1444"/>
      <c r="N3" s="1444"/>
      <c r="O3" s="1444"/>
      <c r="P3" s="1444"/>
      <c r="Q3" s="1444"/>
      <c r="R3" s="1444"/>
      <c r="S3" s="1445"/>
    </row>
    <row r="4" spans="2:26" ht="16.2" thickBot="1">
      <c r="B4" s="513"/>
      <c r="C4" s="510" t="s">
        <v>449</v>
      </c>
      <c r="D4" s="510"/>
      <c r="E4" s="510"/>
      <c r="F4" s="510"/>
      <c r="G4" s="510"/>
      <c r="H4" s="510"/>
      <c r="I4" s="510"/>
      <c r="J4" s="1449"/>
      <c r="K4" s="1449"/>
      <c r="L4" s="514"/>
      <c r="M4" s="514"/>
      <c r="N4" s="515"/>
      <c r="O4" s="515"/>
      <c r="P4" s="516"/>
      <c r="Q4" s="516"/>
      <c r="R4" s="516"/>
      <c r="S4" s="517"/>
    </row>
    <row r="5" spans="2:26" ht="22.5" customHeight="1" thickBot="1">
      <c r="B5" s="518"/>
      <c r="C5" s="1453" t="s">
        <v>450</v>
      </c>
      <c r="D5" s="1454"/>
      <c r="E5" s="1454"/>
      <c r="F5" s="1454"/>
      <c r="G5" s="1454"/>
      <c r="H5" s="1454"/>
      <c r="I5" s="1455"/>
      <c r="J5" s="519"/>
      <c r="K5" s="515"/>
      <c r="L5" s="1453" t="s">
        <v>451</v>
      </c>
      <c r="M5" s="1454"/>
      <c r="N5" s="1454"/>
      <c r="O5" s="1454"/>
      <c r="P5" s="1454"/>
      <c r="Q5" s="1454"/>
      <c r="R5" s="1455"/>
      <c r="S5" s="517"/>
    </row>
    <row r="6" spans="2:26" ht="15.6" thickBot="1">
      <c r="B6" s="520"/>
      <c r="C6" s="521"/>
      <c r="D6" s="521"/>
      <c r="E6" s="521"/>
      <c r="F6" s="521"/>
      <c r="G6" s="521"/>
      <c r="H6" s="521"/>
      <c r="I6" s="521"/>
      <c r="J6" s="521"/>
      <c r="K6" s="521"/>
      <c r="L6" s="522"/>
      <c r="M6" s="522"/>
      <c r="N6" s="522"/>
      <c r="O6" s="522"/>
      <c r="P6" s="523"/>
      <c r="Q6" s="523"/>
      <c r="R6" s="523"/>
      <c r="S6" s="524"/>
    </row>
    <row r="7" spans="2:26" ht="15" customHeight="1">
      <c r="B7" s="525"/>
      <c r="C7" s="526"/>
      <c r="D7" s="526"/>
      <c r="E7" s="526"/>
      <c r="F7" s="526"/>
      <c r="G7" s="526"/>
      <c r="H7" s="526"/>
      <c r="I7" s="526"/>
      <c r="J7" s="527"/>
      <c r="K7" s="525"/>
      <c r="L7" s="526"/>
      <c r="M7" s="526"/>
      <c r="N7" s="526"/>
      <c r="O7" s="526"/>
      <c r="P7" s="526"/>
      <c r="Q7" s="526"/>
      <c r="R7" s="526"/>
      <c r="S7" s="527"/>
    </row>
    <row r="8" spans="2:26" ht="18.75" customHeight="1">
      <c r="B8" s="528"/>
      <c r="C8" s="1446" t="s">
        <v>453</v>
      </c>
      <c r="D8" s="1447"/>
      <c r="E8" s="1447"/>
      <c r="F8" s="1447"/>
      <c r="G8" s="1447"/>
      <c r="H8" s="1447"/>
      <c r="I8" s="1448"/>
      <c r="J8" s="529"/>
      <c r="K8" s="528"/>
      <c r="L8" s="1446" t="s">
        <v>453</v>
      </c>
      <c r="M8" s="1447"/>
      <c r="N8" s="1447"/>
      <c r="O8" s="1447"/>
      <c r="P8" s="1447"/>
      <c r="Q8" s="1447"/>
      <c r="R8" s="1448"/>
      <c r="S8" s="530"/>
    </row>
    <row r="9" spans="2:26" ht="15" customHeight="1">
      <c r="B9" s="528"/>
      <c r="C9" s="531"/>
      <c r="D9" s="531"/>
      <c r="E9" s="531"/>
      <c r="F9" s="531"/>
      <c r="G9" s="531"/>
      <c r="H9" s="531"/>
      <c r="I9" s="531"/>
      <c r="J9" s="529"/>
      <c r="K9" s="528"/>
      <c r="L9" s="511"/>
      <c r="M9" s="511"/>
      <c r="N9" s="511"/>
      <c r="O9" s="511"/>
      <c r="P9" s="511"/>
      <c r="Q9" s="511"/>
      <c r="R9" s="511"/>
      <c r="S9" s="530"/>
    </row>
    <row r="10" spans="2:26" ht="17.25" customHeight="1">
      <c r="B10" s="528"/>
      <c r="C10" s="1450" t="s">
        <v>454</v>
      </c>
      <c r="D10" s="1451"/>
      <c r="E10" s="1452"/>
      <c r="G10" s="1450" t="s">
        <v>455</v>
      </c>
      <c r="H10" s="1451"/>
      <c r="I10" s="1452"/>
      <c r="J10" s="529"/>
      <c r="K10" s="528"/>
      <c r="L10" s="1450" t="s">
        <v>461</v>
      </c>
      <c r="M10" s="1451"/>
      <c r="N10" s="1452"/>
      <c r="P10" s="1450" t="s">
        <v>455</v>
      </c>
      <c r="Q10" s="1451"/>
      <c r="R10" s="1452"/>
      <c r="S10" s="530"/>
    </row>
    <row r="11" spans="2:26" ht="17.25" customHeight="1">
      <c r="B11" s="528"/>
      <c r="C11" s="509"/>
      <c r="D11" s="509"/>
      <c r="E11" s="509"/>
      <c r="G11" s="509"/>
      <c r="H11" s="509"/>
      <c r="I11" s="509"/>
      <c r="J11" s="529"/>
      <c r="K11" s="528"/>
      <c r="L11" s="509"/>
      <c r="M11" s="509"/>
      <c r="N11" s="509"/>
      <c r="P11" s="509"/>
      <c r="Q11" s="509"/>
      <c r="R11" s="509"/>
      <c r="S11" s="530"/>
    </row>
    <row r="12" spans="2:26" ht="15" customHeight="1">
      <c r="B12" s="528"/>
      <c r="C12" s="562"/>
      <c r="D12" s="563" t="s">
        <v>3</v>
      </c>
      <c r="E12" s="563" t="s">
        <v>212</v>
      </c>
      <c r="G12" s="564"/>
      <c r="H12" s="563" t="s">
        <v>151</v>
      </c>
      <c r="I12" s="565" t="s">
        <v>212</v>
      </c>
      <c r="J12" s="529"/>
      <c r="K12" s="528"/>
      <c r="L12" s="562"/>
      <c r="M12" s="566" t="s">
        <v>477</v>
      </c>
      <c r="N12" s="566" t="s">
        <v>212</v>
      </c>
      <c r="O12" s="533"/>
      <c r="P12" s="566"/>
      <c r="Q12" s="566" t="s">
        <v>477</v>
      </c>
      <c r="R12" s="566" t="s">
        <v>212</v>
      </c>
      <c r="S12" s="530"/>
      <c r="Z12" s="511"/>
    </row>
    <row r="13" spans="2:26" ht="15" customHeight="1">
      <c r="B13" s="528"/>
      <c r="C13" s="543" t="s">
        <v>20</v>
      </c>
      <c r="D13" s="649">
        <f>+Principal!D14</f>
        <v>92.5</v>
      </c>
      <c r="E13" s="649">
        <f t="shared" ref="E13:E22" si="0">+D13/$D$24*100</f>
        <v>38.263222272834078</v>
      </c>
      <c r="F13" s="552"/>
      <c r="G13" s="543" t="s">
        <v>230</v>
      </c>
      <c r="H13" s="652">
        <f ca="1">+Principal!Q42</f>
        <v>26.633180800947287</v>
      </c>
      <c r="I13" s="649">
        <f ca="1">+H13/$H$24*100</f>
        <v>11.016877194583639</v>
      </c>
      <c r="J13" s="529"/>
      <c r="K13" s="528"/>
      <c r="L13" s="543" t="s">
        <v>607</v>
      </c>
      <c r="M13" s="668">
        <f>+'Bal Energ Fus'!I10</f>
        <v>95704.491346178402</v>
      </c>
      <c r="N13" s="656">
        <f t="shared" ref="N13:N18" si="1">+M13/$M$24*100</f>
        <v>84.224377132340464</v>
      </c>
      <c r="O13" s="533"/>
      <c r="P13" s="557" t="s">
        <v>467</v>
      </c>
      <c r="Q13" s="668">
        <f ca="1">+'Bal Energ Fus'!I87</f>
        <v>1482.5783460457885</v>
      </c>
      <c r="R13" s="656">
        <f t="shared" ref="R13:R21" ca="1" si="2">+Q13/$Q$24*100</f>
        <v>1.3054429475152296</v>
      </c>
      <c r="S13" s="530"/>
      <c r="Z13" s="511"/>
    </row>
    <row r="14" spans="2:26" ht="15" customHeight="1">
      <c r="B14" s="528"/>
      <c r="C14" s="543" t="s">
        <v>138</v>
      </c>
      <c r="D14" s="649">
        <f>+Principal!D16</f>
        <v>0.1</v>
      </c>
      <c r="E14" s="649">
        <f t="shared" si="0"/>
        <v>4.1365645700361171E-2</v>
      </c>
      <c r="F14" s="552"/>
      <c r="G14" s="651" t="s">
        <v>222</v>
      </c>
      <c r="H14" s="652">
        <f>+Principal!Q44</f>
        <v>94.282982686051298</v>
      </c>
      <c r="I14" s="649">
        <f ca="1">+H14/$H$24*100</f>
        <v>38.962167564092347</v>
      </c>
      <c r="J14" s="529"/>
      <c r="K14" s="528"/>
      <c r="L14" s="543" t="s">
        <v>608</v>
      </c>
      <c r="M14" s="668">
        <f>+'Bal Energ Fus'!I15</f>
        <v>1143.1771500961543</v>
      </c>
      <c r="N14" s="656">
        <f t="shared" si="1"/>
        <v>1.0060487450949438</v>
      </c>
      <c r="O14" s="533"/>
      <c r="P14" s="557" t="s">
        <v>490</v>
      </c>
      <c r="Q14" s="673">
        <f>+'Bal Energ Fus'!I101</f>
        <v>18571.263064239647</v>
      </c>
      <c r="R14" s="656">
        <f t="shared" ca="1" si="2"/>
        <v>16.486413063846385</v>
      </c>
      <c r="S14" s="530"/>
      <c r="Z14" s="511"/>
    </row>
    <row r="15" spans="2:26" ht="15" customHeight="1">
      <c r="B15" s="528"/>
      <c r="C15" s="543" t="s">
        <v>121</v>
      </c>
      <c r="D15" s="649">
        <f>+Principal!D18+'Bal Mat Fus'!I36/1000</f>
        <v>48.169565217391302</v>
      </c>
      <c r="E15" s="649">
        <f t="shared" si="0"/>
        <v>19.925651683230495</v>
      </c>
      <c r="F15" s="552"/>
      <c r="G15" s="543" t="s">
        <v>458</v>
      </c>
      <c r="H15" s="652">
        <f ca="1">+Principal!Q46</f>
        <v>7.9992731026170674</v>
      </c>
      <c r="I15" s="649">
        <f ca="1">+H15/$H$24*100</f>
        <v>3.3089179274573839</v>
      </c>
      <c r="J15" s="529"/>
      <c r="K15" s="528"/>
      <c r="L15" s="543" t="s">
        <v>463</v>
      </c>
      <c r="M15" s="668">
        <f>+'Bal Energ Fus'!I39+'Bal Energ Fus'!I49+'Bal Energ Fus'!I208*0</f>
        <v>78.691674891153212</v>
      </c>
      <c r="N15" s="656">
        <f t="shared" si="1"/>
        <v>6.9252312090917034E-2</v>
      </c>
      <c r="O15" s="533"/>
      <c r="P15" s="557" t="s">
        <v>468</v>
      </c>
      <c r="Q15" s="668">
        <f ca="1">+'Bal Energ Fus'!I130</f>
        <v>873.55002290894367</v>
      </c>
      <c r="R15" s="656">
        <f t="shared" ca="1" si="2"/>
        <v>0.76918007048312043</v>
      </c>
      <c r="S15" s="530"/>
      <c r="Z15" s="511"/>
    </row>
    <row r="16" spans="2:26" ht="15" customHeight="1">
      <c r="B16" s="528"/>
      <c r="C16" s="543" t="s">
        <v>696</v>
      </c>
      <c r="D16" s="649">
        <f>+'Bal Mat Fus'!F7</f>
        <v>11.700845323327771</v>
      </c>
      <c r="E16" s="649">
        <f t="shared" si="0"/>
        <v>4.8401302203950456</v>
      </c>
      <c r="F16" s="552"/>
      <c r="G16" s="543" t="s">
        <v>231</v>
      </c>
      <c r="H16" s="652">
        <f>+'Bal Mat Fus'!C231</f>
        <v>9.1872193504332262</v>
      </c>
      <c r="I16" s="649">
        <f ca="1">+H16/$H$24*100</f>
        <v>3.4837456070175845</v>
      </c>
      <c r="J16" s="529"/>
      <c r="K16" s="528"/>
      <c r="L16" s="543" t="s">
        <v>464</v>
      </c>
      <c r="M16" s="668">
        <f>+'Bal Energ Fus'!I29</f>
        <v>3734.4505571616314</v>
      </c>
      <c r="N16" s="656">
        <f t="shared" si="1"/>
        <v>3.2864891467919586</v>
      </c>
      <c r="O16" s="533"/>
      <c r="P16" s="557" t="s">
        <v>469</v>
      </c>
      <c r="Q16" s="668">
        <f>+'Bal Energ Fus'!I146</f>
        <v>1378.1365531201973</v>
      </c>
      <c r="R16" s="656">
        <f t="shared" ca="1" si="2"/>
        <v>1.1477307572498336</v>
      </c>
      <c r="S16" s="530"/>
      <c r="Z16" s="511"/>
    </row>
    <row r="17" spans="2:26" ht="15" customHeight="1">
      <c r="B17" s="528"/>
      <c r="C17" s="543" t="s">
        <v>162</v>
      </c>
      <c r="D17" s="649">
        <f>'Bal Mat Fus'!C44</f>
        <v>7.4468402587962981</v>
      </c>
      <c r="E17" s="649">
        <f t="shared" si="0"/>
        <v>3.0804335573255357</v>
      </c>
      <c r="F17" s="552"/>
      <c r="G17" s="543" t="s">
        <v>238</v>
      </c>
      <c r="H17" s="652">
        <f>+'Bal Mat Fus'!C243</f>
        <v>106.27962027628399</v>
      </c>
      <c r="I17" s="649">
        <f ca="1">+H17/$H$24*100</f>
        <v>43.228291706849042</v>
      </c>
      <c r="J17" s="529"/>
      <c r="K17" s="528"/>
      <c r="L17" s="543" t="s">
        <v>465</v>
      </c>
      <c r="M17" s="668">
        <f>+'Bal Energ Fus'!I67</f>
        <v>12969.58299461989</v>
      </c>
      <c r="N17" s="656">
        <f t="shared" si="1"/>
        <v>11.413832663681719</v>
      </c>
      <c r="O17" s="533"/>
      <c r="P17" s="557" t="s">
        <v>470</v>
      </c>
      <c r="Q17" s="668">
        <f>'Bal Energ Fus'!I116</f>
        <v>41841.578723734288</v>
      </c>
      <c r="R17" s="656">
        <f t="shared" ca="1" si="2"/>
        <v>36.348713084035907</v>
      </c>
      <c r="S17" s="530"/>
      <c r="Z17" s="511"/>
    </row>
    <row r="18" spans="2:26" ht="15" customHeight="1">
      <c r="B18" s="528"/>
      <c r="C18" s="543" t="s">
        <v>456</v>
      </c>
      <c r="D18" s="649">
        <f>+'Bal Mat Fus'!D44+'Bal Mat Fus'!F44</f>
        <v>47.901672369457856</v>
      </c>
      <c r="E18" s="649">
        <f t="shared" si="0"/>
        <v>19.814836076897738</v>
      </c>
      <c r="F18" s="553"/>
      <c r="G18" s="554"/>
      <c r="H18" s="534"/>
      <c r="I18" s="543"/>
      <c r="J18" s="529"/>
      <c r="K18" s="528"/>
      <c r="L18" s="921" t="s">
        <v>466</v>
      </c>
      <c r="M18" s="922">
        <f>+'Bal Energ Fus'!I219*0</f>
        <v>0</v>
      </c>
      <c r="N18" s="923">
        <f t="shared" si="1"/>
        <v>0</v>
      </c>
      <c r="O18" s="533"/>
      <c r="P18" s="557" t="s">
        <v>471</v>
      </c>
      <c r="Q18" s="668">
        <f>+'Bal Energ Fus'!I161</f>
        <v>32402.847007232496</v>
      </c>
      <c r="R18" s="656">
        <f t="shared" ca="1" si="2"/>
        <v>27.203594555428339</v>
      </c>
      <c r="S18" s="530"/>
      <c r="V18" s="511"/>
      <c r="W18" s="511"/>
      <c r="X18" s="535"/>
      <c r="Y18" s="511"/>
      <c r="Z18" s="511"/>
    </row>
    <row r="19" spans="2:26" ht="15" customHeight="1">
      <c r="B19" s="528"/>
      <c r="C19" s="543" t="s">
        <v>430</v>
      </c>
      <c r="D19" s="649">
        <f>+'Bal Mat Fus'!E44</f>
        <v>20.83233865624112</v>
      </c>
      <c r="E19" s="649">
        <f t="shared" si="0"/>
        <v>8.6174313996400826</v>
      </c>
      <c r="F19" s="553"/>
      <c r="G19" s="554"/>
      <c r="H19" s="534"/>
      <c r="I19" s="543"/>
      <c r="J19" s="529"/>
      <c r="K19" s="528"/>
      <c r="M19" s="669"/>
      <c r="N19" s="533"/>
      <c r="O19" s="533"/>
      <c r="P19" s="557" t="s">
        <v>473</v>
      </c>
      <c r="Q19" s="668">
        <f>+'Bal Energ Fus'!I170</f>
        <v>6981.4861682367755</v>
      </c>
      <c r="R19" s="656">
        <f t="shared" ca="1" si="2"/>
        <v>5.9508747290145783</v>
      </c>
      <c r="S19" s="530"/>
      <c r="T19" s="1008"/>
      <c r="U19" s="552" t="s">
        <v>624</v>
      </c>
      <c r="V19" s="511"/>
      <c r="W19" s="511"/>
      <c r="X19" s="511"/>
      <c r="Y19" s="511"/>
      <c r="Z19" s="511"/>
    </row>
    <row r="20" spans="2:26" ht="15" customHeight="1">
      <c r="B20" s="528"/>
      <c r="C20" s="543" t="s">
        <v>457</v>
      </c>
      <c r="D20" s="649">
        <f>+'Bal Mat Fus'!L22</f>
        <v>13.095236523600001</v>
      </c>
      <c r="E20" s="649">
        <f t="shared" si="0"/>
        <v>5.4169291439766694</v>
      </c>
      <c r="F20" s="555"/>
      <c r="G20" s="540"/>
      <c r="H20" s="536"/>
      <c r="I20" s="540"/>
      <c r="J20" s="529"/>
      <c r="K20" s="528"/>
      <c r="L20" s="532"/>
      <c r="M20" s="669"/>
      <c r="N20" s="533"/>
      <c r="O20" s="533"/>
      <c r="P20" s="557" t="s">
        <v>472</v>
      </c>
      <c r="Q20" s="668">
        <f>+'Bal Energ Fus'!I178</f>
        <v>10947.7702213841</v>
      </c>
      <c r="R20" s="656">
        <f t="shared" ca="1" si="2"/>
        <v>9.6397532478743795</v>
      </c>
      <c r="S20" s="530"/>
      <c r="T20" s="1007"/>
      <c r="U20" s="1132">
        <f>+Q20/Principal!Q16</f>
        <v>2148.8251276800006</v>
      </c>
      <c r="V20" s="511"/>
      <c r="W20" s="511"/>
      <c r="X20" s="511"/>
      <c r="Y20" s="511"/>
      <c r="Z20" s="511"/>
    </row>
    <row r="21" spans="2:26" ht="15" customHeight="1">
      <c r="B21" s="528"/>
      <c r="C21" s="543" t="s">
        <v>459</v>
      </c>
      <c r="D21" s="650">
        <f>+'Bal Mat Fus'!I251*'Bal Mat Fus'!L103</f>
        <v>0</v>
      </c>
      <c r="E21" s="649">
        <f t="shared" si="0"/>
        <v>0</v>
      </c>
      <c r="F21" s="537"/>
      <c r="G21" s="540"/>
      <c r="H21" s="540"/>
      <c r="I21" s="540"/>
      <c r="J21" s="529"/>
      <c r="K21" s="528"/>
      <c r="L21" s="532"/>
      <c r="M21" s="669"/>
      <c r="N21" s="533"/>
      <c r="O21" s="533"/>
      <c r="P21" s="557" t="s">
        <v>474</v>
      </c>
      <c r="Q21" s="668">
        <f>+'Bal Energ Fus'!I182+'Bal Energ Fus'!I256*0</f>
        <v>1304.1099020153219</v>
      </c>
      <c r="R21" s="656">
        <f t="shared" ca="1" si="2"/>
        <v>1.1482975445522259</v>
      </c>
      <c r="S21" s="530"/>
      <c r="T21" s="1007"/>
      <c r="U21" s="1133">
        <f>+Q21/Principal!Q16</f>
        <v>255.97030902540618</v>
      </c>
      <c r="V21" s="511"/>
      <c r="W21" s="511"/>
      <c r="X21" s="511"/>
      <c r="Y21" s="511"/>
      <c r="Z21" s="511"/>
    </row>
    <row r="22" spans="2:26" ht="15" customHeight="1">
      <c r="B22" s="528"/>
      <c r="C22" s="921" t="s">
        <v>460</v>
      </c>
      <c r="D22" s="929">
        <f>+'Bal Mat Fus'!I251*'Bal Mat Fus'!F248/'Bal Mat Fus'!F249*0</f>
        <v>0</v>
      </c>
      <c r="E22" s="930">
        <f t="shared" si="0"/>
        <v>0</v>
      </c>
      <c r="F22" s="537"/>
      <c r="G22" s="556"/>
      <c r="H22" s="511"/>
      <c r="I22" s="511"/>
      <c r="J22" s="529"/>
      <c r="K22" s="528"/>
      <c r="L22" s="511"/>
      <c r="M22" s="670"/>
      <c r="N22" s="511"/>
      <c r="O22" s="511"/>
      <c r="P22" s="511"/>
      <c r="Q22" s="670"/>
      <c r="R22" s="511"/>
      <c r="S22" s="530"/>
      <c r="U22" s="1134">
        <f>SUM(U20:U21)</f>
        <v>2404.7954367054067</v>
      </c>
      <c r="V22" s="511"/>
      <c r="W22" s="670"/>
      <c r="X22" s="511"/>
      <c r="Y22" s="511"/>
      <c r="Z22" s="511"/>
    </row>
    <row r="23" spans="2:26" ht="15" customHeight="1">
      <c r="B23" s="528"/>
      <c r="C23" s="558"/>
      <c r="D23" s="559"/>
      <c r="E23" s="559"/>
      <c r="F23" s="537"/>
      <c r="G23" s="560"/>
      <c r="H23" s="561"/>
      <c r="I23" s="561"/>
      <c r="J23" s="529"/>
      <c r="K23" s="528"/>
      <c r="L23" s="561"/>
      <c r="M23" s="671"/>
      <c r="N23" s="561"/>
      <c r="O23" s="511"/>
      <c r="P23" s="561"/>
      <c r="Q23" s="671"/>
      <c r="R23" s="561"/>
      <c r="S23" s="530"/>
      <c r="V23" s="511"/>
      <c r="W23" s="511"/>
      <c r="X23" s="511"/>
      <c r="Y23" s="511"/>
      <c r="Z23" s="511"/>
    </row>
    <row r="24" spans="2:26" ht="15" customHeight="1">
      <c r="B24" s="528"/>
      <c r="C24" s="543"/>
      <c r="D24" s="650">
        <f>SUM(D13:D22)</f>
        <v>241.74649834881433</v>
      </c>
      <c r="E24" s="650"/>
      <c r="F24" s="650"/>
      <c r="G24" s="653"/>
      <c r="H24" s="654">
        <f ca="1">SUM(H13:H17)</f>
        <v>241.74891242357933</v>
      </c>
      <c r="I24" s="511"/>
      <c r="J24" s="529"/>
      <c r="K24" s="528"/>
      <c r="L24" s="511"/>
      <c r="M24" s="670">
        <f>SUM(M13:M18)</f>
        <v>113630.39372294722</v>
      </c>
      <c r="N24" s="511"/>
      <c r="O24" s="511"/>
      <c r="P24" s="511"/>
      <c r="Q24" s="670">
        <f ca="1">SUM(Q13:Q21)</f>
        <v>113568.98812527327</v>
      </c>
      <c r="R24" s="511"/>
      <c r="S24" s="530"/>
      <c r="V24" s="511"/>
      <c r="W24" s="511"/>
      <c r="X24" s="511"/>
      <c r="Y24" s="511"/>
      <c r="Z24" s="511"/>
    </row>
    <row r="25" spans="2:26" ht="15" customHeight="1">
      <c r="B25" s="528"/>
      <c r="C25" s="511"/>
      <c r="D25" s="511"/>
      <c r="E25" s="511"/>
      <c r="F25" s="511"/>
      <c r="G25" s="511"/>
      <c r="H25" s="511"/>
      <c r="I25" s="511"/>
      <c r="J25" s="529"/>
      <c r="K25" s="528"/>
      <c r="L25" s="511"/>
      <c r="M25" s="511"/>
      <c r="N25" s="511"/>
      <c r="O25" s="511"/>
      <c r="P25" s="511"/>
      <c r="Q25" s="511"/>
      <c r="R25" s="511"/>
      <c r="S25" s="530"/>
      <c r="Z25" s="511"/>
    </row>
    <row r="26" spans="2:26" ht="18.75" customHeight="1">
      <c r="B26" s="528"/>
      <c r="C26" s="1446" t="s">
        <v>475</v>
      </c>
      <c r="D26" s="1447"/>
      <c r="E26" s="1447"/>
      <c r="F26" s="1447"/>
      <c r="G26" s="1447"/>
      <c r="H26" s="1447"/>
      <c r="I26" s="1448"/>
      <c r="J26" s="538"/>
      <c r="K26" s="539"/>
      <c r="L26" s="1446" t="s">
        <v>476</v>
      </c>
      <c r="M26" s="1447"/>
      <c r="N26" s="1447"/>
      <c r="O26" s="1447"/>
      <c r="P26" s="1447"/>
      <c r="Q26" s="1447"/>
      <c r="R26" s="1448"/>
      <c r="S26" s="530"/>
    </row>
    <row r="27" spans="2:26" ht="15" customHeight="1">
      <c r="B27" s="528"/>
      <c r="C27" s="540"/>
      <c r="D27" s="540"/>
      <c r="E27" s="540"/>
      <c r="F27" s="541"/>
      <c r="G27" s="540"/>
      <c r="H27" s="540"/>
      <c r="I27" s="542"/>
      <c r="J27" s="538"/>
      <c r="K27" s="539"/>
      <c r="L27" s="540"/>
      <c r="M27" s="540"/>
      <c r="N27" s="540"/>
      <c r="O27" s="540"/>
      <c r="P27" s="540"/>
      <c r="Q27" s="540"/>
      <c r="R27" s="540"/>
      <c r="S27" s="530"/>
    </row>
    <row r="28" spans="2:26" ht="17.25" customHeight="1">
      <c r="B28" s="528"/>
      <c r="C28" s="1450" t="s">
        <v>454</v>
      </c>
      <c r="D28" s="1451"/>
      <c r="E28" s="1452"/>
      <c r="G28" s="1450" t="s">
        <v>455</v>
      </c>
      <c r="H28" s="1451"/>
      <c r="I28" s="1452"/>
      <c r="J28" s="538"/>
      <c r="K28" s="539"/>
      <c r="L28" s="1450" t="s">
        <v>461</v>
      </c>
      <c r="M28" s="1451"/>
      <c r="N28" s="1452"/>
      <c r="P28" s="1450" t="s">
        <v>455</v>
      </c>
      <c r="Q28" s="1451"/>
      <c r="R28" s="1452"/>
      <c r="S28" s="530"/>
    </row>
    <row r="29" spans="2:26" ht="17.25" customHeight="1">
      <c r="B29" s="528"/>
      <c r="C29" s="509"/>
      <c r="D29" s="509"/>
      <c r="E29" s="509"/>
      <c r="G29" s="509"/>
      <c r="H29" s="509"/>
      <c r="I29" s="509"/>
      <c r="J29" s="538"/>
      <c r="K29" s="539"/>
      <c r="L29" s="509"/>
      <c r="M29" s="509"/>
      <c r="N29" s="509"/>
      <c r="P29" s="509"/>
      <c r="Q29" s="509"/>
      <c r="R29" s="509"/>
      <c r="S29" s="530"/>
    </row>
    <row r="30" spans="2:26" ht="15" customHeight="1">
      <c r="B30" s="528"/>
      <c r="C30" s="562"/>
      <c r="D30" s="563" t="s">
        <v>3</v>
      </c>
      <c r="E30" s="563" t="s">
        <v>212</v>
      </c>
      <c r="G30" s="564"/>
      <c r="H30" s="563" t="s">
        <v>151</v>
      </c>
      <c r="I30" s="565" t="s">
        <v>212</v>
      </c>
      <c r="J30" s="538"/>
      <c r="K30" s="539"/>
      <c r="L30" s="562"/>
      <c r="M30" s="566" t="s">
        <v>477</v>
      </c>
      <c r="N30" s="566" t="s">
        <v>212</v>
      </c>
      <c r="O30" s="533"/>
      <c r="P30" s="566"/>
      <c r="Q30" s="566" t="s">
        <v>477</v>
      </c>
      <c r="R30" s="566" t="s">
        <v>212</v>
      </c>
      <c r="S30" s="530"/>
    </row>
    <row r="31" spans="2:26" ht="15" customHeight="1">
      <c r="B31" s="528"/>
      <c r="C31" s="543" t="s">
        <v>478</v>
      </c>
      <c r="D31" s="649">
        <f ca="1">+Principal!D63</f>
        <v>1.1331808009472866</v>
      </c>
      <c r="E31" s="649">
        <f t="shared" ref="E31:E38" ca="1" si="3">+D31/$D$41*100</f>
        <v>0.99203006576684216</v>
      </c>
      <c r="F31" s="552"/>
      <c r="G31" s="543" t="s">
        <v>230</v>
      </c>
      <c r="H31" s="652">
        <f ca="1">+Principal!Q89</f>
        <v>12.647693064238823</v>
      </c>
      <c r="I31" s="649">
        <f ca="1">+H31/$H$41*100</f>
        <v>11.078011591053475</v>
      </c>
      <c r="K31" s="539"/>
      <c r="L31" s="543" t="s">
        <v>607</v>
      </c>
      <c r="M31" s="668">
        <f>+'Bal Energ Red'!I10</f>
        <v>20317.843146030889</v>
      </c>
      <c r="N31" s="656">
        <f t="shared" ref="N31:N37" ca="1" si="4">+M31/$M$41*100</f>
        <v>54.824624251573574</v>
      </c>
      <c r="O31" s="533"/>
      <c r="P31" s="557" t="s">
        <v>467</v>
      </c>
      <c r="Q31" s="668">
        <f ca="1">+'Bal Energ Red'!I82</f>
        <v>683.45436188977078</v>
      </c>
      <c r="R31" s="656">
        <f t="shared" ref="R31:R39" ca="1" si="5">+Q31/$Q$41*100</f>
        <v>1.8442017233531314</v>
      </c>
      <c r="S31" s="530"/>
    </row>
    <row r="32" spans="2:26" ht="15" customHeight="1">
      <c r="B32" s="528"/>
      <c r="C32" s="543" t="s">
        <v>479</v>
      </c>
      <c r="D32" s="649">
        <f>+Principal!D65</f>
        <v>94.282982686051298</v>
      </c>
      <c r="E32" s="649">
        <f t="shared" ca="1" si="3"/>
        <v>82.458088989066283</v>
      </c>
      <c r="F32" s="552"/>
      <c r="G32" s="651" t="s">
        <v>222</v>
      </c>
      <c r="H32" s="652">
        <f ca="1">+'Bal Mat Red'!C201</f>
        <v>69.906377053502311</v>
      </c>
      <c r="I32" s="649">
        <f ca="1">+H32/$H$41*100</f>
        <v>61.230427664071428</v>
      </c>
      <c r="J32" s="538"/>
      <c r="K32" s="539"/>
      <c r="L32" s="543" t="s">
        <v>608</v>
      </c>
      <c r="M32" s="668">
        <f>+'Bal Energ Red'!I15</f>
        <v>242.69387671436331</v>
      </c>
      <c r="N32" s="656">
        <f t="shared" ca="1" si="4"/>
        <v>0.65487269014683547</v>
      </c>
      <c r="O32" s="533"/>
      <c r="P32" s="557" t="s">
        <v>490</v>
      </c>
      <c r="Q32" s="668">
        <f ca="1">+'Bal Energ Red'!I97</f>
        <v>18997.438949407839</v>
      </c>
      <c r="R32" s="656">
        <f t="shared" ca="1" si="5"/>
        <v>51.261812936449424</v>
      </c>
      <c r="S32" s="530"/>
    </row>
    <row r="33" spans="1:23" ht="15" customHeight="1">
      <c r="B33" s="528"/>
      <c r="C33" s="543" t="s">
        <v>708</v>
      </c>
      <c r="D33" s="649">
        <f>'Bal Mat Red'!G7</f>
        <v>1.8354764945783273</v>
      </c>
      <c r="E33" s="649">
        <f t="shared" ca="1" si="3"/>
        <v>1.6068467327613447</v>
      </c>
      <c r="F33" s="552"/>
      <c r="G33" s="543" t="s">
        <v>458</v>
      </c>
      <c r="H33" s="652">
        <f ca="1">+Principal!Q93</f>
        <v>5.2255785060181088</v>
      </c>
      <c r="I33" s="649">
        <f ca="1">+H33/$H$41*100</f>
        <v>4.5770417550145099</v>
      </c>
      <c r="J33" s="544"/>
      <c r="K33" s="539"/>
      <c r="L33" s="543" t="s">
        <v>463</v>
      </c>
      <c r="M33" s="668">
        <f>+'Bal Energ Red'!I35+'Bal Energ Red'!I45+'Bal Energ Red'!I204*0</f>
        <v>20.22297764147007</v>
      </c>
      <c r="N33" s="656">
        <f t="shared" ca="1" si="4"/>
        <v>5.4568644047149228E-2</v>
      </c>
      <c r="O33" s="533"/>
      <c r="P33" s="557" t="s">
        <v>468</v>
      </c>
      <c r="Q33" s="668">
        <f ca="1">+'Bal Energ Red'!I126</f>
        <v>487.24865682649215</v>
      </c>
      <c r="R33" s="656">
        <f t="shared" ca="1" si="5"/>
        <v>1.3147692994983642</v>
      </c>
      <c r="S33" s="530"/>
    </row>
    <row r="34" spans="1:23" ht="15" customHeight="1">
      <c r="B34" s="528"/>
      <c r="C34" s="543" t="s">
        <v>162</v>
      </c>
      <c r="D34" s="649">
        <f>+'Bal Mat Red'!C44</f>
        <v>1.5809470400347412</v>
      </c>
      <c r="E34" s="649">
        <f t="shared" ca="1" si="3"/>
        <v>1.3840218566962073</v>
      </c>
      <c r="F34" s="552"/>
      <c r="G34" s="543" t="s">
        <v>231</v>
      </c>
      <c r="H34" s="652">
        <f ca="1">+'Bal Mat Red'!C225</f>
        <v>5.6338924548331404</v>
      </c>
      <c r="I34" s="649">
        <f ca="1">+H34/$H$41*100</f>
        <v>4.9346806251853339</v>
      </c>
      <c r="J34" s="545"/>
      <c r="K34" s="539"/>
      <c r="L34" s="543" t="s">
        <v>481</v>
      </c>
      <c r="M34" s="668">
        <f ca="1">+'Bal Energ Red'!I20</f>
        <v>63.080310616879636</v>
      </c>
      <c r="N34" s="656">
        <f t="shared" ca="1" si="4"/>
        <v>0.17021266983836156</v>
      </c>
      <c r="O34" s="533"/>
      <c r="P34" s="557" t="s">
        <v>469</v>
      </c>
      <c r="Q34" s="668">
        <f ca="1">+'Bal Energ Red'!I142</f>
        <v>991.76110628571871</v>
      </c>
      <c r="R34" s="656">
        <f t="shared" ca="1" si="5"/>
        <v>2.6761224206828862</v>
      </c>
      <c r="S34" s="530"/>
    </row>
    <row r="35" spans="1:23" ht="15" customHeight="1">
      <c r="B35" s="528"/>
      <c r="C35" s="543" t="s">
        <v>456</v>
      </c>
      <c r="D35" s="649">
        <f>+'Bal Mat Red'!D44+'Bal Mat Red'!F44</f>
        <v>13.254182498626168</v>
      </c>
      <c r="E35" s="649">
        <f t="shared" ca="1" si="3"/>
        <v>11.603221237781536</v>
      </c>
      <c r="F35" s="553"/>
      <c r="G35" s="543" t="s">
        <v>238</v>
      </c>
      <c r="H35" s="652">
        <f ca="1">+'Bal Mat Red'!C237</f>
        <v>20.755802041187451</v>
      </c>
      <c r="I35" s="649">
        <f ca="1">+H35/$H$41*100</f>
        <v>18.179838364675245</v>
      </c>
      <c r="J35" s="545"/>
      <c r="K35" s="539"/>
      <c r="L35" s="543" t="s">
        <v>480</v>
      </c>
      <c r="M35" s="668">
        <f>+'Bal Energ Red'!I25</f>
        <v>18571.263064239647</v>
      </c>
      <c r="N35" s="656">
        <f t="shared" ca="1" si="4"/>
        <v>50.522402419378331</v>
      </c>
      <c r="O35" s="533"/>
      <c r="P35" s="557" t="s">
        <v>470</v>
      </c>
      <c r="Q35" s="668">
        <f ca="1">+'Bal Energ Red'!I112</f>
        <v>7847.1576552577199</v>
      </c>
      <c r="R35" s="656">
        <f t="shared" ca="1" si="5"/>
        <v>21.174408238810898</v>
      </c>
      <c r="S35" s="530"/>
    </row>
    <row r="36" spans="1:23" ht="15" customHeight="1">
      <c r="A36" s="696"/>
      <c r="B36" s="528"/>
      <c r="C36" s="543" t="s">
        <v>430</v>
      </c>
      <c r="D36" s="649">
        <f>+'Bal Mat Red'!E44</f>
        <v>2.234070339174465</v>
      </c>
      <c r="E36" s="649">
        <f t="shared" ca="1" si="3"/>
        <v>1.9557911179277847</v>
      </c>
      <c r="F36" s="553"/>
      <c r="G36" s="554"/>
      <c r="H36" s="534"/>
      <c r="I36" s="531"/>
      <c r="J36" s="538"/>
      <c r="K36" s="539"/>
      <c r="L36" s="543" t="s">
        <v>465</v>
      </c>
      <c r="M36" s="668">
        <f ca="1">+'Bal Energ Red'!I62</f>
        <v>-2307.5893907493669</v>
      </c>
      <c r="N36" s="656">
        <f t="shared" ca="1" si="4"/>
        <v>-6.2266806749842445</v>
      </c>
      <c r="O36" s="533"/>
      <c r="P36" s="557" t="s">
        <v>471</v>
      </c>
      <c r="Q36" s="668">
        <f ca="1">+'Bal Energ Red'!I157</f>
        <v>5572.576285802691</v>
      </c>
      <c r="R36" s="656">
        <f t="shared" ca="1" si="5"/>
        <v>15.036782794652218</v>
      </c>
      <c r="S36" s="530"/>
    </row>
    <row r="37" spans="1:23" ht="15" customHeight="1">
      <c r="B37" s="528"/>
      <c r="C37" s="543" t="s">
        <v>459</v>
      </c>
      <c r="D37" s="649">
        <f>+'Bal Mat Red'!I246*'Bal Mat Red'!M93</f>
        <v>0</v>
      </c>
      <c r="E37" s="649">
        <f t="shared" ca="1" si="3"/>
        <v>0</v>
      </c>
      <c r="F37" s="555"/>
      <c r="G37" s="540"/>
      <c r="H37" s="536"/>
      <c r="I37" s="511"/>
      <c r="J37" s="538"/>
      <c r="K37" s="539"/>
      <c r="L37" s="921" t="s">
        <v>466</v>
      </c>
      <c r="M37" s="922">
        <f ca="1">+'Bal Energ Red'!I215*0</f>
        <v>0</v>
      </c>
      <c r="N37" s="923">
        <f t="shared" ca="1" si="4"/>
        <v>0</v>
      </c>
      <c r="O37" s="533"/>
      <c r="P37" s="557" t="s">
        <v>473</v>
      </c>
      <c r="Q37" s="668">
        <f ca="1">+'Bal Energ Red'!I166</f>
        <v>1623.100305072518</v>
      </c>
      <c r="R37" s="656">
        <f t="shared" ca="1" si="5"/>
        <v>4.3796989919167455</v>
      </c>
      <c r="S37" s="530"/>
      <c r="T37" s="1008"/>
      <c r="U37" s="552" t="s">
        <v>624</v>
      </c>
    </row>
    <row r="38" spans="1:23" ht="15" customHeight="1">
      <c r="A38" s="693"/>
      <c r="B38" s="694"/>
      <c r="C38" s="921" t="s">
        <v>460</v>
      </c>
      <c r="D38" s="929">
        <f>+'Bal Mat Red'!I246*'Bal Mat Red'!F242/'Bal Mat Red'!F243*0</f>
        <v>0</v>
      </c>
      <c r="E38" s="930">
        <f t="shared" ca="1" si="3"/>
        <v>0</v>
      </c>
      <c r="F38" s="695"/>
      <c r="G38" s="556"/>
      <c r="H38" s="511"/>
      <c r="I38" s="511"/>
      <c r="J38" s="538"/>
      <c r="K38" s="539"/>
      <c r="L38" s="532"/>
      <c r="M38" s="669"/>
      <c r="N38" s="533"/>
      <c r="O38" s="533"/>
      <c r="P38" s="557" t="s">
        <v>472</v>
      </c>
      <c r="Q38" s="668">
        <f>+'Bal Energ Red'!I174</f>
        <v>259.64970292800001</v>
      </c>
      <c r="R38" s="656">
        <f t="shared" ca="1" si="5"/>
        <v>0.70062678111223442</v>
      </c>
      <c r="S38" s="530"/>
      <c r="T38" s="1007"/>
      <c r="U38" s="1132">
        <f>+Q38/Principal!Q65</f>
        <v>179.06876064000002</v>
      </c>
    </row>
    <row r="39" spans="1:23" ht="15" customHeight="1">
      <c r="A39" s="511"/>
      <c r="B39" s="528"/>
      <c r="C39" s="697"/>
      <c r="D39" s="531"/>
      <c r="E39" s="531"/>
      <c r="F39" s="537"/>
      <c r="G39" s="556"/>
      <c r="H39" s="685"/>
      <c r="I39" s="511"/>
      <c r="J39" s="538"/>
      <c r="K39" s="539"/>
      <c r="L39" s="511"/>
      <c r="M39" s="670"/>
      <c r="N39" s="511"/>
      <c r="O39" s="511"/>
      <c r="P39" s="557" t="s">
        <v>474</v>
      </c>
      <c r="Q39" s="674">
        <f ca="1">+'Bal Energ Red'!I178+'Bal Energ Red'!I252*0</f>
        <v>597.2444276436421</v>
      </c>
      <c r="R39" s="656">
        <f t="shared" ca="1" si="5"/>
        <v>1.6115768135240935</v>
      </c>
      <c r="S39" s="530"/>
      <c r="T39" s="1007"/>
      <c r="U39" s="1133">
        <f ca="1">+Q39/Principal!Q65</f>
        <v>411.89270871975316</v>
      </c>
    </row>
    <row r="40" spans="1:23" ht="15" customHeight="1">
      <c r="A40" s="511"/>
      <c r="B40" s="694"/>
      <c r="C40" s="687"/>
      <c r="D40" s="559"/>
      <c r="E40" s="559"/>
      <c r="F40" s="537"/>
      <c r="G40" s="560"/>
      <c r="H40" s="686"/>
      <c r="I40" s="561"/>
      <c r="J40" s="538"/>
      <c r="K40" s="539"/>
      <c r="L40" s="561"/>
      <c r="M40" s="671"/>
      <c r="N40" s="561"/>
      <c r="O40" s="511"/>
      <c r="P40" s="561"/>
      <c r="Q40" s="671"/>
      <c r="R40" s="561"/>
      <c r="S40" s="530"/>
      <c r="U40" s="1134">
        <f ca="1">+U38+U39</f>
        <v>590.96146935975321</v>
      </c>
      <c r="W40" s="1117"/>
    </row>
    <row r="41" spans="1:23" ht="15" customHeight="1">
      <c r="B41" s="528"/>
      <c r="C41" s="543"/>
      <c r="D41" s="649">
        <f ca="1">SUM(D31:D38)</f>
        <v>114.22847351620683</v>
      </c>
      <c r="E41" s="543"/>
      <c r="F41" s="655"/>
      <c r="G41" s="540"/>
      <c r="H41" s="654">
        <f ca="1">SUM(H31:H35)</f>
        <v>114.16934311977984</v>
      </c>
      <c r="I41" s="511"/>
      <c r="J41" s="538"/>
      <c r="K41" s="539"/>
      <c r="L41" s="540"/>
      <c r="M41" s="672">
        <f ca="1">SUM(M31:M37)</f>
        <v>37059.703415017437</v>
      </c>
      <c r="N41" s="540"/>
      <c r="O41" s="540"/>
      <c r="P41" s="540"/>
      <c r="Q41" s="672">
        <f ca="1">SUM(Q31:Q39)</f>
        <v>37059.631451114394</v>
      </c>
      <c r="R41" s="540"/>
      <c r="S41" s="530"/>
    </row>
    <row r="42" spans="1:23" ht="15" customHeight="1">
      <c r="B42" s="528"/>
      <c r="C42" s="540"/>
      <c r="D42" s="540"/>
      <c r="E42" s="540"/>
      <c r="F42" s="540"/>
      <c r="G42" s="540"/>
      <c r="H42" s="540"/>
      <c r="I42" s="540"/>
      <c r="J42" s="544"/>
      <c r="K42" s="539"/>
      <c r="S42" s="530"/>
    </row>
    <row r="43" spans="1:23" ht="15" customHeight="1">
      <c r="B43" s="528"/>
      <c r="C43" s="1446"/>
      <c r="D43" s="1447"/>
      <c r="E43" s="1447"/>
      <c r="F43" s="1447"/>
      <c r="G43" s="1447"/>
      <c r="H43" s="1447"/>
      <c r="I43" s="1448"/>
      <c r="J43" s="544"/>
      <c r="K43" s="539"/>
      <c r="L43" s="1446"/>
      <c r="M43" s="1447"/>
      <c r="N43" s="1447"/>
      <c r="O43" s="1447"/>
      <c r="P43" s="1447"/>
      <c r="Q43" s="1447"/>
      <c r="R43" s="1448"/>
      <c r="S43" s="530"/>
    </row>
    <row r="44" spans="1:23" ht="13.8" thickBot="1">
      <c r="B44" s="546"/>
      <c r="C44" s="547"/>
      <c r="D44" s="547"/>
      <c r="E44" s="547"/>
      <c r="F44" s="548"/>
      <c r="G44" s="548"/>
      <c r="H44" s="548"/>
      <c r="I44" s="548"/>
      <c r="J44" s="549"/>
      <c r="K44" s="546"/>
      <c r="L44" s="548"/>
      <c r="M44" s="548"/>
      <c r="N44" s="548"/>
      <c r="O44" s="548"/>
      <c r="P44" s="548"/>
      <c r="Q44" s="548"/>
      <c r="R44" s="548"/>
      <c r="S44" s="549"/>
    </row>
    <row r="46" spans="1:23">
      <c r="B46" s="552" t="s">
        <v>697</v>
      </c>
      <c r="C46" s="552" t="s">
        <v>698</v>
      </c>
    </row>
    <row r="47" spans="1:23">
      <c r="C47" s="550"/>
      <c r="D47" s="550"/>
      <c r="E47" s="550"/>
      <c r="F47" s="511"/>
      <c r="G47" s="511"/>
      <c r="H47" s="511"/>
      <c r="I47" s="511"/>
      <c r="J47" s="511"/>
      <c r="K47" s="511"/>
      <c r="L47" s="511"/>
      <c r="M47" s="511"/>
    </row>
    <row r="48" spans="1:23">
      <c r="C48" s="551"/>
      <c r="D48" s="551"/>
      <c r="E48" s="551"/>
      <c r="F48" s="511"/>
      <c r="G48" s="511"/>
      <c r="H48" s="511"/>
      <c r="I48" s="511"/>
      <c r="J48" s="511"/>
      <c r="K48" s="511"/>
      <c r="L48" s="511"/>
      <c r="M48" s="511"/>
    </row>
    <row r="49" spans="3:14">
      <c r="C49" s="551"/>
      <c r="D49" s="551"/>
      <c r="E49" s="551"/>
      <c r="F49" s="511"/>
      <c r="G49" s="511"/>
      <c r="H49" s="511"/>
      <c r="I49" s="511"/>
      <c r="J49" s="511"/>
      <c r="K49" s="511"/>
      <c r="L49" s="511"/>
      <c r="M49" s="511"/>
      <c r="N49" s="511"/>
    </row>
    <row r="50" spans="3:14">
      <c r="C50" s="511"/>
      <c r="D50" s="511"/>
      <c r="E50" s="511"/>
      <c r="F50" s="511"/>
      <c r="G50" s="511"/>
      <c r="H50" s="511"/>
      <c r="I50" s="511"/>
      <c r="J50" s="511"/>
      <c r="K50" s="511"/>
      <c r="L50" s="511"/>
      <c r="M50" s="511"/>
      <c r="N50" s="511"/>
    </row>
  </sheetData>
  <sheetProtection password="CFDD" sheet="1"/>
  <mergeCells count="18">
    <mergeCell ref="L5:R5"/>
    <mergeCell ref="C5:I5"/>
    <mergeCell ref="L10:N10"/>
    <mergeCell ref="P10:R10"/>
    <mergeCell ref="C28:E28"/>
    <mergeCell ref="G28:I28"/>
    <mergeCell ref="L28:N28"/>
    <mergeCell ref="P28:R28"/>
    <mergeCell ref="B2:S3"/>
    <mergeCell ref="C43:I43"/>
    <mergeCell ref="L43:R43"/>
    <mergeCell ref="J4:K4"/>
    <mergeCell ref="C26:I26"/>
    <mergeCell ref="C8:I8"/>
    <mergeCell ref="L8:R8"/>
    <mergeCell ref="L26:R26"/>
    <mergeCell ref="C10:E10"/>
    <mergeCell ref="G10:I10"/>
  </mergeCells>
  <phoneticPr fontId="10" type="noConversion"/>
  <printOptions horizontalCentered="1"/>
  <pageMargins left="0.54" right="0.52" top="1.1599999999999999" bottom="0.43" header="0" footer="0"/>
  <pageSetup paperSize="9" scale="66" orientation="landscape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3141D-D7AE-4F3D-9B0D-38CC96D986ED}">
  <sheetPr codeName="Sheet14">
    <pageSetUpPr fitToPage="1"/>
  </sheetPr>
  <dimension ref="A1:Z50"/>
  <sheetViews>
    <sheetView topLeftCell="A3" zoomScale="80" zoomScaleNormal="80" workbookViewId="0">
      <selection activeCell="C14" sqref="C14"/>
    </sheetView>
  </sheetViews>
  <sheetFormatPr baseColWidth="10" defaultColWidth="8" defaultRowHeight="13.2"/>
  <cols>
    <col min="1" max="1" width="2.6640625" style="512" customWidth="1"/>
    <col min="2" max="2" width="3" style="512" customWidth="1"/>
    <col min="3" max="3" width="27.5546875" style="512" customWidth="1"/>
    <col min="4" max="4" width="9.109375" style="512" customWidth="1"/>
    <col min="5" max="5" width="8" style="512" customWidth="1"/>
    <col min="6" max="6" width="5.6640625" style="512" customWidth="1"/>
    <col min="7" max="7" width="17" style="512" customWidth="1"/>
    <col min="8" max="8" width="9.6640625" style="512" customWidth="1"/>
    <col min="9" max="9" width="8.44140625" style="512" customWidth="1"/>
    <col min="10" max="10" width="4.109375" style="512" customWidth="1"/>
    <col min="11" max="11" width="3.6640625" style="512" customWidth="1"/>
    <col min="12" max="12" width="32.6640625" style="512" customWidth="1"/>
    <col min="13" max="13" width="10.33203125" style="512" customWidth="1"/>
    <col min="14" max="14" width="8.88671875" style="512" customWidth="1"/>
    <col min="15" max="15" width="6.33203125" style="512" customWidth="1"/>
    <col min="16" max="16" width="31.5546875" style="512" customWidth="1"/>
    <col min="17" max="17" width="10.109375" style="512" customWidth="1"/>
    <col min="18" max="18" width="8.44140625" style="512" customWidth="1"/>
    <col min="19" max="19" width="4.109375" style="512" customWidth="1"/>
    <col min="20" max="21" width="8" style="512" customWidth="1"/>
    <col min="22" max="22" width="9.109375" style="512" bestFit="1" customWidth="1"/>
    <col min="23" max="23" width="27.5546875" style="512" customWidth="1"/>
    <col min="24" max="16384" width="8" style="512"/>
  </cols>
  <sheetData>
    <row r="1" spans="2:26" s="511" customFormat="1" ht="16.2" thickBot="1"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</row>
    <row r="2" spans="2:26" ht="22.5" customHeight="1">
      <c r="B2" s="1440" t="s">
        <v>452</v>
      </c>
      <c r="C2" s="1441"/>
      <c r="D2" s="1441"/>
      <c r="E2" s="1441"/>
      <c r="F2" s="1441"/>
      <c r="G2" s="1441"/>
      <c r="H2" s="1441"/>
      <c r="I2" s="1441"/>
      <c r="J2" s="1441"/>
      <c r="K2" s="1441"/>
      <c r="L2" s="1441"/>
      <c r="M2" s="1441"/>
      <c r="N2" s="1441"/>
      <c r="O2" s="1441"/>
      <c r="P2" s="1441"/>
      <c r="Q2" s="1441"/>
      <c r="R2" s="1441"/>
      <c r="S2" s="1442"/>
      <c r="U2" s="651" t="s">
        <v>536</v>
      </c>
    </row>
    <row r="3" spans="2:26" ht="23.25" customHeight="1" thickBot="1">
      <c r="B3" s="1443"/>
      <c r="C3" s="1444"/>
      <c r="D3" s="1444"/>
      <c r="E3" s="1444"/>
      <c r="F3" s="1444"/>
      <c r="G3" s="1444"/>
      <c r="H3" s="1444"/>
      <c r="I3" s="1444"/>
      <c r="J3" s="1444"/>
      <c r="K3" s="1444"/>
      <c r="L3" s="1444"/>
      <c r="M3" s="1444"/>
      <c r="N3" s="1444"/>
      <c r="O3" s="1444"/>
      <c r="P3" s="1444"/>
      <c r="Q3" s="1444"/>
      <c r="R3" s="1444"/>
      <c r="S3" s="1445"/>
    </row>
    <row r="4" spans="2:26" ht="16.2" thickBot="1">
      <c r="B4" s="513"/>
      <c r="C4" s="510" t="s">
        <v>449</v>
      </c>
      <c r="D4" s="510"/>
      <c r="E4" s="510"/>
      <c r="F4" s="510"/>
      <c r="G4" s="510"/>
      <c r="H4" s="510"/>
      <c r="I4" s="510"/>
      <c r="J4" s="1449"/>
      <c r="K4" s="1449"/>
      <c r="L4" s="514"/>
      <c r="M4" s="514"/>
      <c r="N4" s="515"/>
      <c r="O4" s="515"/>
      <c r="P4" s="516"/>
      <c r="Q4" s="516"/>
      <c r="R4" s="516"/>
      <c r="S4" s="517"/>
    </row>
    <row r="5" spans="2:26" ht="22.5" customHeight="1" thickBot="1">
      <c r="B5" s="518"/>
      <c r="C5" s="1453" t="s">
        <v>450</v>
      </c>
      <c r="D5" s="1454"/>
      <c r="E5" s="1454"/>
      <c r="F5" s="1454"/>
      <c r="G5" s="1454"/>
      <c r="H5" s="1454"/>
      <c r="I5" s="1455"/>
      <c r="J5" s="519"/>
      <c r="K5" s="515"/>
      <c r="L5" s="1453" t="s">
        <v>451</v>
      </c>
      <c r="M5" s="1454"/>
      <c r="N5" s="1454"/>
      <c r="O5" s="1454"/>
      <c r="P5" s="1454"/>
      <c r="Q5" s="1454"/>
      <c r="R5" s="1455"/>
      <c r="S5" s="517"/>
    </row>
    <row r="6" spans="2:26" ht="15.6" thickBot="1">
      <c r="B6" s="520"/>
      <c r="C6" s="521"/>
      <c r="D6" s="521"/>
      <c r="E6" s="521"/>
      <c r="F6" s="521"/>
      <c r="G6" s="521"/>
      <c r="H6" s="521"/>
      <c r="I6" s="521"/>
      <c r="J6" s="521"/>
      <c r="K6" s="521"/>
      <c r="L6" s="522"/>
      <c r="M6" s="522"/>
      <c r="N6" s="522"/>
      <c r="O6" s="522"/>
      <c r="P6" s="523"/>
      <c r="Q6" s="523"/>
      <c r="R6" s="523"/>
      <c r="S6" s="524"/>
    </row>
    <row r="7" spans="2:26" ht="15" customHeight="1">
      <c r="B7" s="525"/>
      <c r="C7" s="526"/>
      <c r="D7" s="526"/>
      <c r="E7" s="526"/>
      <c r="F7" s="526"/>
      <c r="G7" s="526"/>
      <c r="H7" s="526"/>
      <c r="I7" s="526"/>
      <c r="J7" s="527"/>
      <c r="K7" s="525"/>
      <c r="L7" s="526"/>
      <c r="M7" s="526"/>
      <c r="N7" s="526"/>
      <c r="O7" s="526"/>
      <c r="P7" s="526"/>
      <c r="Q7" s="526"/>
      <c r="R7" s="526"/>
      <c r="S7" s="527"/>
    </row>
    <row r="8" spans="2:26" ht="18.75" customHeight="1">
      <c r="B8" s="528"/>
      <c r="C8" s="1446" t="s">
        <v>453</v>
      </c>
      <c r="D8" s="1447"/>
      <c r="E8" s="1447"/>
      <c r="F8" s="1447"/>
      <c r="G8" s="1447"/>
      <c r="H8" s="1447"/>
      <c r="I8" s="1448"/>
      <c r="J8" s="529"/>
      <c r="K8" s="528"/>
      <c r="L8" s="1446" t="s">
        <v>453</v>
      </c>
      <c r="M8" s="1447"/>
      <c r="N8" s="1447"/>
      <c r="O8" s="1447"/>
      <c r="P8" s="1447"/>
      <c r="Q8" s="1447"/>
      <c r="R8" s="1448"/>
      <c r="S8" s="530"/>
    </row>
    <row r="9" spans="2:26" ht="15" customHeight="1">
      <c r="B9" s="528"/>
      <c r="C9" s="531"/>
      <c r="D9" s="531"/>
      <c r="E9" s="531"/>
      <c r="F9" s="531"/>
      <c r="G9" s="531"/>
      <c r="H9" s="531"/>
      <c r="I9" s="531"/>
      <c r="J9" s="529"/>
      <c r="K9" s="528"/>
      <c r="L9" s="511"/>
      <c r="M9" s="511"/>
      <c r="N9" s="511"/>
      <c r="O9" s="511"/>
      <c r="P9" s="511"/>
      <c r="Q9" s="511"/>
      <c r="R9" s="511"/>
      <c r="S9" s="530"/>
    </row>
    <row r="10" spans="2:26" ht="17.25" customHeight="1">
      <c r="B10" s="528"/>
      <c r="C10" s="1450" t="s">
        <v>454</v>
      </c>
      <c r="D10" s="1451"/>
      <c r="E10" s="1452"/>
      <c r="G10" s="1450" t="s">
        <v>455</v>
      </c>
      <c r="H10" s="1451"/>
      <c r="I10" s="1452"/>
      <c r="J10" s="529"/>
      <c r="K10" s="528"/>
      <c r="L10" s="1450" t="s">
        <v>461</v>
      </c>
      <c r="M10" s="1451"/>
      <c r="N10" s="1452"/>
      <c r="P10" s="1450" t="s">
        <v>455</v>
      </c>
      <c r="Q10" s="1451"/>
      <c r="R10" s="1452"/>
      <c r="S10" s="530"/>
    </row>
    <row r="11" spans="2:26" ht="17.25" customHeight="1">
      <c r="B11" s="528"/>
      <c r="C11" s="509"/>
      <c r="D11" s="509"/>
      <c r="E11" s="509"/>
      <c r="G11" s="509"/>
      <c r="H11" s="509"/>
      <c r="I11" s="509"/>
      <c r="J11" s="529"/>
      <c r="K11" s="528"/>
      <c r="L11" s="509"/>
      <c r="M11" s="509"/>
      <c r="N11" s="509"/>
      <c r="P11" s="509"/>
      <c r="Q11" s="509"/>
      <c r="R11" s="509"/>
      <c r="S11" s="530"/>
    </row>
    <row r="12" spans="2:26" ht="15" customHeight="1">
      <c r="B12" s="528"/>
      <c r="C12" s="562"/>
      <c r="D12" s="563" t="s">
        <v>3</v>
      </c>
      <c r="E12" s="563" t="s">
        <v>212</v>
      </c>
      <c r="G12" s="564"/>
      <c r="H12" s="563" t="s">
        <v>151</v>
      </c>
      <c r="I12" s="565" t="s">
        <v>212</v>
      </c>
      <c r="J12" s="529"/>
      <c r="K12" s="528"/>
      <c r="L12" s="562"/>
      <c r="M12" s="566" t="s">
        <v>477</v>
      </c>
      <c r="N12" s="566" t="s">
        <v>212</v>
      </c>
      <c r="O12" s="533"/>
      <c r="P12" s="566"/>
      <c r="Q12" s="566" t="s">
        <v>477</v>
      </c>
      <c r="R12" s="566" t="s">
        <v>212</v>
      </c>
      <c r="S12" s="530"/>
      <c r="Z12" s="511"/>
    </row>
    <row r="13" spans="2:26" ht="15" customHeight="1">
      <c r="B13" s="528"/>
      <c r="C13" s="543" t="s">
        <v>20</v>
      </c>
      <c r="D13" s="649">
        <f>+Principal!D14</f>
        <v>92.5</v>
      </c>
      <c r="E13" s="649">
        <f>+D13/$D$24*100</f>
        <v>31.804114373627769</v>
      </c>
      <c r="F13" s="552"/>
      <c r="G13" s="543" t="s">
        <v>230</v>
      </c>
      <c r="H13" s="652">
        <f ca="1">+Principal!Q42</f>
        <v>26.633180800947287</v>
      </c>
      <c r="I13" s="649">
        <f ca="1">+H13/$H$24*100</f>
        <v>9.1540169156716082</v>
      </c>
      <c r="J13" s="529"/>
      <c r="K13" s="528"/>
      <c r="L13" s="543" t="s">
        <v>554</v>
      </c>
      <c r="M13" s="668">
        <f>+'Bal Energ Fus'!I10</f>
        <v>95704.491346178402</v>
      </c>
      <c r="N13" s="656">
        <f t="shared" ref="N13:N18" si="0">+M13/$M$24*100</f>
        <v>60.552085934146135</v>
      </c>
      <c r="O13" s="533"/>
      <c r="P13" s="557" t="s">
        <v>467</v>
      </c>
      <c r="Q13" s="668">
        <f ca="1">+'Bal Energ Fus'!I87</f>
        <v>1482.5783460457885</v>
      </c>
      <c r="R13" s="656">
        <f ca="1">+Q13/$Q$24*100</f>
        <v>0.93677682379210792</v>
      </c>
      <c r="S13" s="530"/>
      <c r="Z13" s="511"/>
    </row>
    <row r="14" spans="2:26" ht="15" customHeight="1">
      <c r="B14" s="528"/>
      <c r="C14" s="543" t="s">
        <v>759</v>
      </c>
      <c r="D14" s="649">
        <f>Carga!E40</f>
        <v>13.2</v>
      </c>
      <c r="E14" s="649">
        <f t="shared" ref="E14:E22" si="1">+D14/$D$24*100</f>
        <v>4.5385330781825575</v>
      </c>
      <c r="F14" s="552"/>
      <c r="G14" s="651" t="s">
        <v>222</v>
      </c>
      <c r="H14" s="652">
        <f>+Principal!Q44</f>
        <v>94.282982686051298</v>
      </c>
      <c r="I14" s="649">
        <f ca="1">+H14/$H$24*100</f>
        <v>32.373996247165422</v>
      </c>
      <c r="J14" s="529"/>
      <c r="K14" s="528"/>
      <c r="L14" s="543" t="s">
        <v>462</v>
      </c>
      <c r="M14" s="668">
        <f>+'Bal Energ Fus'!I15</f>
        <v>1143.1771500961543</v>
      </c>
      <c r="N14" s="656">
        <f t="shared" si="0"/>
        <v>0.72328644201439274</v>
      </c>
      <c r="O14" s="533"/>
      <c r="P14" s="557" t="s">
        <v>490</v>
      </c>
      <c r="Q14" s="673">
        <f>+'Bal Energ Fus'!I101</f>
        <v>18571.263064239647</v>
      </c>
      <c r="R14" s="656">
        <f t="shared" ref="R14:R21" ca="1" si="2">+Q14/$Q$24*100</f>
        <v>11.830535907425825</v>
      </c>
      <c r="S14" s="530"/>
      <c r="Z14" s="511"/>
    </row>
    <row r="15" spans="2:26" ht="15" customHeight="1">
      <c r="B15" s="528"/>
      <c r="C15" s="543" t="s">
        <v>121</v>
      </c>
      <c r="D15" s="649">
        <f>+Principal!D18+'Bal Mat Fus'!I36/1000-D14</f>
        <v>34.969565217391306</v>
      </c>
      <c r="E15" s="649">
        <f t="shared" si="1"/>
        <v>12.023524883999443</v>
      </c>
      <c r="F15" s="552"/>
      <c r="G15" s="543" t="s">
        <v>458</v>
      </c>
      <c r="H15" s="652">
        <f ca="1">+Principal!Q46</f>
        <v>7.9992731026170674</v>
      </c>
      <c r="I15" s="649">
        <f ca="1">+H15/$H$24*100</f>
        <v>2.7494080351014278</v>
      </c>
      <c r="J15" s="529"/>
      <c r="K15" s="528"/>
      <c r="L15" s="543" t="s">
        <v>463</v>
      </c>
      <c r="M15" s="668">
        <f>+'Bal Energ Fus'!I39+'Bal Energ Fus'!I49+'Bal Energ Fus'!I208</f>
        <v>140.58932601457633</v>
      </c>
      <c r="N15" s="656">
        <f t="shared" si="0"/>
        <v>8.8950652477379766E-2</v>
      </c>
      <c r="O15" s="533"/>
      <c r="P15" s="557" t="s">
        <v>468</v>
      </c>
      <c r="Q15" s="668">
        <f ca="1">+'Bal Energ Fus'!I130</f>
        <v>873.55002290894367</v>
      </c>
      <c r="R15" s="656">
        <f t="shared" ca="1" si="2"/>
        <v>0.55195829486294812</v>
      </c>
      <c r="S15" s="530"/>
      <c r="Z15" s="511"/>
    </row>
    <row r="16" spans="2:26" ht="15" customHeight="1">
      <c r="B16" s="528"/>
      <c r="C16" s="543" t="s">
        <v>160</v>
      </c>
      <c r="D16" s="649">
        <f>+'Bal Mat Fus'!F7</f>
        <v>11.700845323327771</v>
      </c>
      <c r="E16" s="649">
        <f t="shared" si="1"/>
        <v>4.0230813289864216</v>
      </c>
      <c r="F16" s="552"/>
      <c r="G16" s="543" t="s">
        <v>231</v>
      </c>
      <c r="H16" s="652">
        <f>+Principal!Q48</f>
        <v>9.5274817052763616</v>
      </c>
      <c r="I16" s="649">
        <f ca="1">+H16/$H$24*100</f>
        <v>3.0024009071640987</v>
      </c>
      <c r="J16" s="529"/>
      <c r="K16" s="528"/>
      <c r="L16" s="543" t="s">
        <v>464</v>
      </c>
      <c r="M16" s="668">
        <f>+'Bal Energ Fus'!I29</f>
        <v>3734.4505571616314</v>
      </c>
      <c r="N16" s="656">
        <f t="shared" si="0"/>
        <v>2.3627811806253405</v>
      </c>
      <c r="O16" s="533"/>
      <c r="P16" s="557" t="s">
        <v>469</v>
      </c>
      <c r="Q16" s="668">
        <f>+'Bal Energ Fus'!I252</f>
        <v>2685.1902852955982</v>
      </c>
      <c r="R16" s="656">
        <f t="shared" ca="1" si="2"/>
        <v>1.5769589522309835</v>
      </c>
      <c r="S16" s="530"/>
      <c r="Z16" s="511"/>
    </row>
    <row r="17" spans="2:26" ht="15" customHeight="1">
      <c r="B17" s="528"/>
      <c r="C17" s="543" t="s">
        <v>164</v>
      </c>
      <c r="D17" s="649">
        <f>'Bal Mat Fus'!C44</f>
        <v>7.4468402587962981</v>
      </c>
      <c r="E17" s="649">
        <f t="shared" si="1"/>
        <v>2.5604341547339811</v>
      </c>
      <c r="F17" s="552"/>
      <c r="G17" s="543" t="s">
        <v>238</v>
      </c>
      <c r="H17" s="652">
        <f>+'Bal Mat Fus'!H243</f>
        <v>155.13573264662651</v>
      </c>
      <c r="I17" s="649">
        <f ca="1">+H17/$H$24*100</f>
        <v>52.720177894897432</v>
      </c>
      <c r="J17" s="529"/>
      <c r="K17" s="528"/>
      <c r="L17" s="543" t="s">
        <v>465</v>
      </c>
      <c r="M17" s="668">
        <f>+'Bal Energ Fus'!I67</f>
        <v>12969.58299461989</v>
      </c>
      <c r="N17" s="656">
        <f t="shared" si="0"/>
        <v>8.2058354103735951</v>
      </c>
      <c r="O17" s="533"/>
      <c r="P17" s="557" t="s">
        <v>470</v>
      </c>
      <c r="Q17" s="668">
        <f>'Bal Energ Fus'!I238</f>
        <v>81178.047147513877</v>
      </c>
      <c r="R17" s="656">
        <f t="shared" ca="1" si="2"/>
        <v>50.813525435366024</v>
      </c>
      <c r="S17" s="530"/>
      <c r="Z17" s="511"/>
    </row>
    <row r="18" spans="2:26" ht="15" customHeight="1">
      <c r="B18" s="528"/>
      <c r="C18" s="543" t="s">
        <v>456</v>
      </c>
      <c r="D18" s="649">
        <f>+'Bal Mat Fus'!D44+'Bal Mat Fus'!F44</f>
        <v>47.901672369457856</v>
      </c>
      <c r="E18" s="649">
        <f t="shared" si="1"/>
        <v>16.469948829473328</v>
      </c>
      <c r="F18" s="553"/>
      <c r="G18" s="554"/>
      <c r="H18" s="534"/>
      <c r="I18" s="543"/>
      <c r="J18" s="529"/>
      <c r="K18" s="528"/>
      <c r="L18" s="543" t="s">
        <v>466</v>
      </c>
      <c r="M18" s="668">
        <f>+'Bal Energ Fus'!I219</f>
        <v>44360.878669092686</v>
      </c>
      <c r="N18" s="656">
        <f t="shared" si="0"/>
        <v>28.067060380363142</v>
      </c>
      <c r="O18" s="533"/>
      <c r="P18" s="557" t="s">
        <v>471</v>
      </c>
      <c r="Q18" s="668">
        <f>+'Bal Energ Fus'!I161</f>
        <v>32402.847007232496</v>
      </c>
      <c r="R18" s="656">
        <f t="shared" ca="1" si="2"/>
        <v>19.521111169100053</v>
      </c>
      <c r="S18" s="530"/>
      <c r="V18" s="511"/>
      <c r="W18" s="511"/>
      <c r="X18" s="535"/>
      <c r="Y18" s="511"/>
      <c r="Z18" s="511"/>
    </row>
    <row r="19" spans="2:26" ht="15" customHeight="1">
      <c r="B19" s="528"/>
      <c r="C19" s="543" t="s">
        <v>430</v>
      </c>
      <c r="D19" s="649">
        <f>+'Bal Mat Fus'!E44</f>
        <v>20.83233865624112</v>
      </c>
      <c r="E19" s="649">
        <f t="shared" si="1"/>
        <v>7.16274682479178</v>
      </c>
      <c r="F19" s="553"/>
      <c r="G19" s="554"/>
      <c r="H19" s="534"/>
      <c r="I19" s="543"/>
      <c r="J19" s="529"/>
      <c r="K19" s="528"/>
      <c r="M19" s="669"/>
      <c r="N19" s="533"/>
      <c r="O19" s="533"/>
      <c r="P19" s="557" t="s">
        <v>473</v>
      </c>
      <c r="Q19" s="668">
        <f>+'Bal Energ Fus'!I170</f>
        <v>6981.4861682367755</v>
      </c>
      <c r="R19" s="656">
        <f t="shared" ca="1" si="2"/>
        <v>4.2703065178311537</v>
      </c>
      <c r="S19" s="530"/>
      <c r="V19" s="511"/>
      <c r="W19" s="511"/>
      <c r="X19" s="511"/>
      <c r="Y19" s="511"/>
      <c r="Z19" s="511"/>
    </row>
    <row r="20" spans="2:26" ht="15" customHeight="1">
      <c r="B20" s="528"/>
      <c r="C20" s="543" t="s">
        <v>457</v>
      </c>
      <c r="D20" s="649">
        <f>+'Bal Mat Fus'!L22</f>
        <v>13.095236523600001</v>
      </c>
      <c r="E20" s="649">
        <f t="shared" si="1"/>
        <v>4.5025124340138607</v>
      </c>
      <c r="F20" s="555"/>
      <c r="G20" s="540"/>
      <c r="H20" s="536"/>
      <c r="I20" s="540"/>
      <c r="J20" s="529"/>
      <c r="K20" s="528"/>
      <c r="L20" s="532"/>
      <c r="M20" s="669"/>
      <c r="N20" s="533"/>
      <c r="O20" s="533"/>
      <c r="P20" s="557" t="s">
        <v>472</v>
      </c>
      <c r="Q20" s="668">
        <f>+'Bal Energ Fus'!I178</f>
        <v>10947.7702213841</v>
      </c>
      <c r="R20" s="656">
        <f t="shared" ca="1" si="2"/>
        <v>6.9174202111793708</v>
      </c>
      <c r="S20" s="530"/>
      <c r="V20" s="511"/>
      <c r="W20" s="511"/>
      <c r="X20" s="511"/>
      <c r="Y20" s="511"/>
      <c r="Z20" s="511"/>
    </row>
    <row r="21" spans="2:26" ht="15" customHeight="1">
      <c r="B21" s="528"/>
      <c r="C21" s="543" t="s">
        <v>459</v>
      </c>
      <c r="D21" s="650">
        <f>+'Bal Mat Fus'!I251*'Bal Mat Fus'!F247/'Bal Mat Fus'!F249</f>
        <v>42.636858095160896</v>
      </c>
      <c r="E21" s="649">
        <f t="shared" si="1"/>
        <v>14.659756879898747</v>
      </c>
      <c r="F21" s="537"/>
      <c r="G21" s="540"/>
      <c r="H21" s="540"/>
      <c r="I21" s="540"/>
      <c r="J21" s="529"/>
      <c r="K21" s="528"/>
      <c r="L21" s="532"/>
      <c r="M21" s="669"/>
      <c r="N21" s="533"/>
      <c r="O21" s="533"/>
      <c r="P21" s="557" t="s">
        <v>474</v>
      </c>
      <c r="Q21" s="668">
        <f>+'Bal Energ Fus'!I182+'Bal Energ Fus'!I256</f>
        <v>5686.2344818688525</v>
      </c>
      <c r="R21" s="656">
        <f t="shared" ca="1" si="2"/>
        <v>3.5814066882115525</v>
      </c>
      <c r="S21" s="530"/>
      <c r="V21" s="511"/>
      <c r="W21" s="511"/>
      <c r="X21" s="511"/>
      <c r="Y21" s="511"/>
      <c r="Z21" s="511"/>
    </row>
    <row r="22" spans="2:26" ht="15" customHeight="1">
      <c r="B22" s="528"/>
      <c r="C22" s="543" t="s">
        <v>460</v>
      </c>
      <c r="D22" s="650">
        <f>+'Bal Mat Fus'!I251*'Bal Mat Fus'!F248/'Bal Mat Fus'!F249</f>
        <v>6.5595166300247536</v>
      </c>
      <c r="E22" s="649">
        <f t="shared" si="1"/>
        <v>2.255347212292115</v>
      </c>
      <c r="F22" s="537"/>
      <c r="G22" s="556"/>
      <c r="H22" s="511"/>
      <c r="I22" s="511"/>
      <c r="J22" s="529"/>
      <c r="K22" s="528"/>
      <c r="L22" s="511"/>
      <c r="M22" s="670"/>
      <c r="N22" s="511"/>
      <c r="O22" s="511"/>
      <c r="P22" s="511"/>
      <c r="Q22" s="670"/>
      <c r="R22" s="511"/>
      <c r="S22" s="530"/>
      <c r="V22" s="511"/>
      <c r="W22" s="511"/>
      <c r="X22" s="511"/>
      <c r="Y22" s="511"/>
      <c r="Z22" s="511"/>
    </row>
    <row r="23" spans="2:26" ht="15" customHeight="1">
      <c r="B23" s="528"/>
      <c r="C23" s="558"/>
      <c r="D23" s="559"/>
      <c r="E23" s="559"/>
      <c r="F23" s="537"/>
      <c r="G23" s="560"/>
      <c r="H23" s="561"/>
      <c r="I23" s="561"/>
      <c r="J23" s="529"/>
      <c r="K23" s="528"/>
      <c r="L23" s="561"/>
      <c r="M23" s="671"/>
      <c r="N23" s="561"/>
      <c r="O23" s="511"/>
      <c r="P23" s="561"/>
      <c r="Q23" s="671"/>
      <c r="R23" s="561"/>
      <c r="S23" s="530"/>
      <c r="V23" s="511"/>
      <c r="W23" s="511"/>
      <c r="X23" s="511"/>
      <c r="Y23" s="511"/>
      <c r="Z23" s="511"/>
    </row>
    <row r="24" spans="2:26" ht="15" customHeight="1">
      <c r="B24" s="528"/>
      <c r="C24" s="543"/>
      <c r="D24" s="650">
        <f>SUM(D13:D22)</f>
        <v>290.84287307400001</v>
      </c>
      <c r="E24" s="650"/>
      <c r="F24" s="650"/>
      <c r="G24" s="653"/>
      <c r="H24" s="654">
        <f ca="1">SUM(H13:H17)</f>
        <v>290.94528714876503</v>
      </c>
      <c r="I24" s="511"/>
      <c r="J24" s="529"/>
      <c r="K24" s="528"/>
      <c r="L24" s="511"/>
      <c r="M24" s="670">
        <f>SUM(M13:M18)</f>
        <v>158053.17004316335</v>
      </c>
      <c r="N24" s="511"/>
      <c r="O24" s="511"/>
      <c r="P24" s="511"/>
      <c r="Q24" s="670">
        <f ca="1">SUM(Q13:Q21)</f>
        <v>158263.77301311272</v>
      </c>
      <c r="R24" s="511"/>
      <c r="S24" s="530"/>
      <c r="V24" s="511"/>
      <c r="W24" s="511"/>
      <c r="X24" s="511"/>
      <c r="Y24" s="511"/>
      <c r="Z24" s="511"/>
    </row>
    <row r="25" spans="2:26" ht="15" customHeight="1">
      <c r="B25" s="528"/>
      <c r="C25" s="511"/>
      <c r="D25" s="511"/>
      <c r="E25" s="511"/>
      <c r="F25" s="511"/>
      <c r="G25" s="511"/>
      <c r="H25" s="511"/>
      <c r="I25" s="511"/>
      <c r="J25" s="529"/>
      <c r="K25" s="528"/>
      <c r="L25" s="511"/>
      <c r="M25" s="511"/>
      <c r="N25" s="511"/>
      <c r="O25" s="511"/>
      <c r="P25" s="511"/>
      <c r="Q25" s="511"/>
      <c r="R25" s="511"/>
      <c r="S25" s="530"/>
      <c r="Z25" s="511"/>
    </row>
    <row r="26" spans="2:26" ht="18.75" customHeight="1">
      <c r="B26" s="528"/>
      <c r="C26" s="1446" t="s">
        <v>475</v>
      </c>
      <c r="D26" s="1447"/>
      <c r="E26" s="1447"/>
      <c r="F26" s="1447"/>
      <c r="G26" s="1447"/>
      <c r="H26" s="1447"/>
      <c r="I26" s="1448"/>
      <c r="J26" s="538"/>
      <c r="K26" s="539"/>
      <c r="L26" s="1446" t="s">
        <v>476</v>
      </c>
      <c r="M26" s="1447"/>
      <c r="N26" s="1447"/>
      <c r="O26" s="1447"/>
      <c r="P26" s="1447"/>
      <c r="Q26" s="1447"/>
      <c r="R26" s="1448"/>
      <c r="S26" s="530"/>
    </row>
    <row r="27" spans="2:26" ht="15" customHeight="1">
      <c r="B27" s="528"/>
      <c r="C27" s="540"/>
      <c r="D27" s="540"/>
      <c r="E27" s="540"/>
      <c r="F27" s="541"/>
      <c r="G27" s="540"/>
      <c r="H27" s="540"/>
      <c r="I27" s="542"/>
      <c r="J27" s="538"/>
      <c r="K27" s="539"/>
      <c r="L27" s="540"/>
      <c r="M27" s="540"/>
      <c r="N27" s="540"/>
      <c r="O27" s="540"/>
      <c r="P27" s="540"/>
      <c r="Q27" s="540"/>
      <c r="R27" s="540"/>
      <c r="S27" s="530"/>
    </row>
    <row r="28" spans="2:26" ht="17.25" customHeight="1">
      <c r="B28" s="528"/>
      <c r="C28" s="1450" t="s">
        <v>454</v>
      </c>
      <c r="D28" s="1451"/>
      <c r="E28" s="1452"/>
      <c r="G28" s="1450" t="s">
        <v>455</v>
      </c>
      <c r="H28" s="1451"/>
      <c r="I28" s="1452"/>
      <c r="J28" s="538"/>
      <c r="K28" s="539"/>
      <c r="L28" s="1450" t="s">
        <v>461</v>
      </c>
      <c r="M28" s="1451"/>
      <c r="N28" s="1452"/>
      <c r="P28" s="1450" t="s">
        <v>455</v>
      </c>
      <c r="Q28" s="1451"/>
      <c r="R28" s="1452"/>
      <c r="S28" s="530"/>
    </row>
    <row r="29" spans="2:26" ht="17.25" customHeight="1">
      <c r="B29" s="528"/>
      <c r="C29" s="509"/>
      <c r="D29" s="509"/>
      <c r="E29" s="509"/>
      <c r="G29" s="509"/>
      <c r="H29" s="509"/>
      <c r="I29" s="509"/>
      <c r="J29" s="538"/>
      <c r="K29" s="539"/>
      <c r="L29" s="509"/>
      <c r="M29" s="509"/>
      <c r="N29" s="509"/>
      <c r="P29" s="509"/>
      <c r="Q29" s="509"/>
      <c r="R29" s="509"/>
      <c r="S29" s="530"/>
    </row>
    <row r="30" spans="2:26" ht="15" customHeight="1">
      <c r="B30" s="528"/>
      <c r="C30" s="562"/>
      <c r="D30" s="563" t="s">
        <v>3</v>
      </c>
      <c r="E30" s="563" t="s">
        <v>212</v>
      </c>
      <c r="G30" s="564"/>
      <c r="H30" s="563" t="s">
        <v>151</v>
      </c>
      <c r="I30" s="565" t="s">
        <v>212</v>
      </c>
      <c r="J30" s="538"/>
      <c r="K30" s="539"/>
      <c r="L30" s="562"/>
      <c r="M30" s="566" t="s">
        <v>477</v>
      </c>
      <c r="N30" s="566" t="s">
        <v>212</v>
      </c>
      <c r="O30" s="533"/>
      <c r="P30" s="566"/>
      <c r="Q30" s="566" t="s">
        <v>477</v>
      </c>
      <c r="R30" s="566" t="s">
        <v>212</v>
      </c>
      <c r="S30" s="530"/>
    </row>
    <row r="31" spans="2:26" ht="15" customHeight="1">
      <c r="B31" s="528"/>
      <c r="C31" s="543" t="s">
        <v>478</v>
      </c>
      <c r="D31" s="649">
        <f ca="1">+Principal!D63</f>
        <v>1.1331808009472866</v>
      </c>
      <c r="E31" s="649">
        <f ca="1">+D31/$D$41*100</f>
        <v>0.87986639811808831</v>
      </c>
      <c r="F31" s="552"/>
      <c r="G31" s="543" t="s">
        <v>230</v>
      </c>
      <c r="H31" s="652">
        <f ca="1">+Principal!Q89</f>
        <v>12.647693064238823</v>
      </c>
      <c r="I31" s="649">
        <f ca="1">+H31/$H$41*100</f>
        <v>9.8249032450921749</v>
      </c>
      <c r="K31" s="539"/>
      <c r="L31" s="543" t="s">
        <v>554</v>
      </c>
      <c r="M31" s="668">
        <f>+'Bal Energ Red'!I10</f>
        <v>20317.843146030889</v>
      </c>
      <c r="N31" s="656">
        <f ca="1">+M31/$M$41*100</f>
        <v>41.733385308006497</v>
      </c>
      <c r="O31" s="533"/>
      <c r="P31" s="557" t="s">
        <v>467</v>
      </c>
      <c r="Q31" s="668">
        <f ca="1">+'Bal Energ Red'!I82</f>
        <v>683.45436188977078</v>
      </c>
      <c r="R31" s="656">
        <f ca="1">+Q31/$Q$41*100</f>
        <v>1.4038379285528</v>
      </c>
      <c r="S31" s="530"/>
    </row>
    <row r="32" spans="2:26" ht="15" customHeight="1">
      <c r="B32" s="528"/>
      <c r="C32" s="543" t="s">
        <v>479</v>
      </c>
      <c r="D32" s="649">
        <f>+Principal!D65</f>
        <v>94.282982686051298</v>
      </c>
      <c r="E32" s="649">
        <f t="shared" ref="E32:E38" ca="1" si="3">+D32/$D$41*100</f>
        <v>73.134982757228798</v>
      </c>
      <c r="F32" s="552"/>
      <c r="G32" s="651" t="s">
        <v>222</v>
      </c>
      <c r="H32" s="652">
        <f ca="1">+'Bal Mat Red'!C201</f>
        <v>69.906377053502311</v>
      </c>
      <c r="I32" s="649">
        <f ca="1">+H32/$H$41*100</f>
        <v>54.304242463598015</v>
      </c>
      <c r="J32" s="538"/>
      <c r="K32" s="539"/>
      <c r="L32" s="543" t="s">
        <v>462</v>
      </c>
      <c r="M32" s="668">
        <f>+'Bal Energ Red'!I15</f>
        <v>242.69387671436331</v>
      </c>
      <c r="N32" s="656">
        <f t="shared" ref="N32:N37" ca="1" si="4">+M32/$M$41*100</f>
        <v>0.49849961907954543</v>
      </c>
      <c r="O32" s="533"/>
      <c r="P32" s="557" t="s">
        <v>490</v>
      </c>
      <c r="Q32" s="668">
        <f ca="1">+'Bal Energ Red'!I97</f>
        <v>18997.438949407839</v>
      </c>
      <c r="R32" s="656">
        <f t="shared" ref="R32:R39" ca="1" si="5">+Q32/$Q$41*100</f>
        <v>39.021369720727996</v>
      </c>
      <c r="S32" s="530"/>
    </row>
    <row r="33" spans="1:19" ht="15" customHeight="1">
      <c r="B33" s="528"/>
      <c r="C33" s="543" t="s">
        <v>160</v>
      </c>
      <c r="D33" s="649">
        <f>'Bal Mat Red'!G7</f>
        <v>1.8354764945783273</v>
      </c>
      <c r="E33" s="649">
        <f t="shared" ca="1" si="3"/>
        <v>1.4251689498842588</v>
      </c>
      <c r="F33" s="552"/>
      <c r="G33" s="543" t="s">
        <v>458</v>
      </c>
      <c r="H33" s="652">
        <f ca="1">+Principal!Q93</f>
        <v>5.2255785060181088</v>
      </c>
      <c r="I33" s="649">
        <f ca="1">+H33/$H$41*100</f>
        <v>4.0593017999801599</v>
      </c>
      <c r="J33" s="544"/>
      <c r="K33" s="539"/>
      <c r="L33" s="543" t="s">
        <v>463</v>
      </c>
      <c r="M33" s="668">
        <f>+'Bal Energ Red'!I35+'Bal Energ Red'!I45+'Bal Energ Red'!I204</f>
        <v>38.652459589818832</v>
      </c>
      <c r="N33" s="656">
        <f t="shared" ca="1" si="4"/>
        <v>7.9393170700758187E-2</v>
      </c>
      <c r="O33" s="533"/>
      <c r="P33" s="557" t="s">
        <v>468</v>
      </c>
      <c r="Q33" s="668">
        <f ca="1">+'Bal Energ Red'!I126</f>
        <v>487.24865682649215</v>
      </c>
      <c r="R33" s="656">
        <f t="shared" ca="1" si="5"/>
        <v>1.0008249024823064</v>
      </c>
      <c r="S33" s="530"/>
    </row>
    <row r="34" spans="1:19" ht="15" customHeight="1">
      <c r="B34" s="528"/>
      <c r="C34" s="543" t="s">
        <v>164</v>
      </c>
      <c r="D34" s="649">
        <f>+'Bal Mat Red'!C44</f>
        <v>1.5809470400347412</v>
      </c>
      <c r="E34" s="649">
        <f t="shared" ca="1" si="3"/>
        <v>1.2275377208720719</v>
      </c>
      <c r="F34" s="552"/>
      <c r="G34" s="543" t="s">
        <v>231</v>
      </c>
      <c r="H34" s="652">
        <f ca="1">+Principal!Q95</f>
        <v>5.9952078089004424</v>
      </c>
      <c r="I34" s="649">
        <f ca="1">+H34/$H$41*100</f>
        <v>4.6571605080465979</v>
      </c>
      <c r="J34" s="545"/>
      <c r="K34" s="539"/>
      <c r="L34" s="543" t="s">
        <v>481</v>
      </c>
      <c r="M34" s="668">
        <f ca="1">+'Bal Energ Red'!I20</f>
        <v>63.080310616879636</v>
      </c>
      <c r="N34" s="656">
        <f t="shared" ca="1" si="4"/>
        <v>0.1295686205175397</v>
      </c>
      <c r="O34" s="533"/>
      <c r="P34" s="557" t="s">
        <v>469</v>
      </c>
      <c r="Q34" s="668">
        <f ca="1">+'Bal Energ Red'!I248</f>
        <v>1812.2658808607305</v>
      </c>
      <c r="R34" s="656">
        <f t="shared" ca="1" si="5"/>
        <v>3.7224542296282337</v>
      </c>
      <c r="S34" s="530"/>
    </row>
    <row r="35" spans="1:19" ht="15" customHeight="1">
      <c r="B35" s="528"/>
      <c r="C35" s="543" t="s">
        <v>456</v>
      </c>
      <c r="D35" s="649">
        <f>+'Bal Mat Red'!D44+'Bal Mat Red'!F44</f>
        <v>13.254182498626168</v>
      </c>
      <c r="E35" s="649">
        <f t="shared" ca="1" si="3"/>
        <v>10.291305505103153</v>
      </c>
      <c r="F35" s="553"/>
      <c r="G35" s="543" t="s">
        <v>238</v>
      </c>
      <c r="H35" s="652">
        <f ca="1">+'Bal Mat Red'!H237</f>
        <v>34.956111687120142</v>
      </c>
      <c r="I35" s="649">
        <f ca="1">+H35/$H$41*100</f>
        <v>27.154391983283038</v>
      </c>
      <c r="J35" s="545"/>
      <c r="K35" s="539"/>
      <c r="L35" s="543" t="s">
        <v>480</v>
      </c>
      <c r="M35" s="668">
        <f>+'Bal Energ Red'!I25</f>
        <v>18571.263064239647</v>
      </c>
      <c r="N35" s="656">
        <f t="shared" ca="1" si="4"/>
        <v>38.458464889407026</v>
      </c>
      <c r="O35" s="533"/>
      <c r="P35" s="557" t="s">
        <v>470</v>
      </c>
      <c r="Q35" s="668">
        <f ca="1">+'Bal Energ Red'!I234</f>
        <v>17423.882034923005</v>
      </c>
      <c r="R35" s="656">
        <f t="shared" ca="1" si="5"/>
        <v>35.789231625680479</v>
      </c>
      <c r="S35" s="530"/>
    </row>
    <row r="36" spans="1:19" ht="15" customHeight="1">
      <c r="A36" s="696"/>
      <c r="B36" s="528"/>
      <c r="C36" s="543" t="s">
        <v>430</v>
      </c>
      <c r="D36" s="649">
        <f>+'Bal Mat Red'!E44</f>
        <v>2.234070339174465</v>
      </c>
      <c r="E36" s="649">
        <f t="shared" ca="1" si="3"/>
        <v>1.7346600126199387</v>
      </c>
      <c r="F36" s="553"/>
      <c r="G36" s="554"/>
      <c r="H36" s="534"/>
      <c r="I36" s="531"/>
      <c r="J36" s="538"/>
      <c r="K36" s="539"/>
      <c r="L36" s="543" t="s">
        <v>465</v>
      </c>
      <c r="M36" s="668">
        <f ca="1">+'Bal Energ Red'!I62</f>
        <v>-2307.5893907493669</v>
      </c>
      <c r="N36" s="656">
        <f t="shared" ca="1" si="4"/>
        <v>-4.7398494261741693</v>
      </c>
      <c r="O36" s="533"/>
      <c r="P36" s="557" t="s">
        <v>471</v>
      </c>
      <c r="Q36" s="668">
        <f ca="1">+'Bal Energ Red'!I157</f>
        <v>5572.576285802691</v>
      </c>
      <c r="R36" s="656">
        <f t="shared" ca="1" si="5"/>
        <v>11.446256525648478</v>
      </c>
      <c r="S36" s="530"/>
    </row>
    <row r="37" spans="1:19" ht="15" customHeight="1">
      <c r="B37" s="528"/>
      <c r="C37" s="543" t="s">
        <v>459</v>
      </c>
      <c r="D37" s="649">
        <f>+'Bal Mat Red'!I246*'Bal Mat Red'!F241/'Bal Mat Red'!F243</f>
        <v>12.694749999999999</v>
      </c>
      <c r="E37" s="649">
        <f t="shared" ca="1" si="3"/>
        <v>9.856930110510401</v>
      </c>
      <c r="F37" s="555"/>
      <c r="G37" s="540"/>
      <c r="H37" s="536"/>
      <c r="I37" s="511"/>
      <c r="J37" s="538"/>
      <c r="K37" s="539"/>
      <c r="L37" s="543" t="s">
        <v>466</v>
      </c>
      <c r="M37" s="668">
        <f ca="1">+'Bal Energ Red'!I215</f>
        <v>11606.734137132535</v>
      </c>
      <c r="N37" s="656">
        <f t="shared" ca="1" si="4"/>
        <v>23.840537818462789</v>
      </c>
      <c r="O37" s="533"/>
      <c r="P37" s="557" t="s">
        <v>473</v>
      </c>
      <c r="Q37" s="668">
        <f ca="1">+'Bal Energ Red'!I166</f>
        <v>1623.100305072518</v>
      </c>
      <c r="R37" s="656">
        <f t="shared" ca="1" si="5"/>
        <v>3.3339018626000292</v>
      </c>
      <c r="S37" s="530"/>
    </row>
    <row r="38" spans="1:19" ht="15" customHeight="1">
      <c r="A38" s="693"/>
      <c r="B38" s="694"/>
      <c r="C38" s="543" t="s">
        <v>460</v>
      </c>
      <c r="D38" s="650">
        <f>+'Bal Mat Red'!I246*'Bal Mat Red'!F242/'Bal Mat Red'!F243</f>
        <v>1.8668750000000001</v>
      </c>
      <c r="E38" s="649">
        <f t="shared" ca="1" si="3"/>
        <v>1.4495485456632944</v>
      </c>
      <c r="F38" s="695"/>
      <c r="G38" s="556"/>
      <c r="H38" s="511"/>
      <c r="I38" s="511"/>
      <c r="J38" s="538"/>
      <c r="K38" s="539"/>
      <c r="L38" s="532"/>
      <c r="M38" s="669"/>
      <c r="N38" s="533"/>
      <c r="O38" s="533"/>
      <c r="P38" s="557" t="s">
        <v>472</v>
      </c>
      <c r="Q38" s="668">
        <f>+'Bal Energ Red'!I174</f>
        <v>259.64970292800001</v>
      </c>
      <c r="R38" s="656">
        <f t="shared" ca="1" si="5"/>
        <v>0.53332910203385586</v>
      </c>
      <c r="S38" s="530"/>
    </row>
    <row r="39" spans="1:19" ht="15" customHeight="1">
      <c r="A39" s="511"/>
      <c r="B39" s="528"/>
      <c r="C39" s="697"/>
      <c r="D39" s="531"/>
      <c r="E39" s="531"/>
      <c r="F39" s="537"/>
      <c r="G39" s="556"/>
      <c r="H39" s="685"/>
      <c r="I39" s="511"/>
      <c r="J39" s="538"/>
      <c r="K39" s="539"/>
      <c r="L39" s="511"/>
      <c r="M39" s="670"/>
      <c r="N39" s="511"/>
      <c r="O39" s="511"/>
      <c r="P39" s="557" t="s">
        <v>474</v>
      </c>
      <c r="Q39" s="674">
        <f ca="1">+'Bal Energ Red'!I178+'Bal Energ Red'!I252</f>
        <v>1825.0893704811015</v>
      </c>
      <c r="R39" s="656">
        <f t="shared" ca="1" si="5"/>
        <v>3.7487941026458027</v>
      </c>
      <c r="S39" s="530"/>
    </row>
    <row r="40" spans="1:19" ht="15" customHeight="1">
      <c r="A40" s="511"/>
      <c r="B40" s="694"/>
      <c r="C40" s="687"/>
      <c r="D40" s="559"/>
      <c r="E40" s="559"/>
      <c r="F40" s="537"/>
      <c r="G40" s="560"/>
      <c r="H40" s="686"/>
      <c r="I40" s="561"/>
      <c r="J40" s="538"/>
      <c r="K40" s="539"/>
      <c r="L40" s="561"/>
      <c r="M40" s="671"/>
      <c r="N40" s="561"/>
      <c r="O40" s="511"/>
      <c r="P40" s="561"/>
      <c r="Q40" s="671"/>
      <c r="R40" s="561"/>
      <c r="S40" s="530"/>
    </row>
    <row r="41" spans="1:19" ht="15" customHeight="1">
      <c r="B41" s="528"/>
      <c r="C41" s="543"/>
      <c r="D41" s="649">
        <f ca="1">SUM(D31:D38)</f>
        <v>128.79009851620683</v>
      </c>
      <c r="E41" s="543"/>
      <c r="F41" s="655"/>
      <c r="G41" s="540"/>
      <c r="H41" s="654">
        <f ca="1">SUM(H31:H35)</f>
        <v>128.73096811977985</v>
      </c>
      <c r="I41" s="511"/>
      <c r="J41" s="538"/>
      <c r="K41" s="539"/>
      <c r="L41" s="540"/>
      <c r="M41" s="672">
        <f ca="1">SUM(M31:M37)</f>
        <v>48684.867034098323</v>
      </c>
      <c r="N41" s="540"/>
      <c r="O41" s="540"/>
      <c r="P41" s="540"/>
      <c r="Q41" s="672">
        <f ca="1">SUM(Q31:Q39)</f>
        <v>48684.705548192156</v>
      </c>
      <c r="R41" s="540"/>
      <c r="S41" s="530"/>
    </row>
    <row r="42" spans="1:19" ht="15" customHeight="1">
      <c r="B42" s="528"/>
      <c r="C42" s="540"/>
      <c r="D42" s="540"/>
      <c r="E42" s="540"/>
      <c r="F42" s="540"/>
      <c r="G42" s="540"/>
      <c r="H42" s="540"/>
      <c r="I42" s="540"/>
      <c r="J42" s="544"/>
      <c r="K42" s="539"/>
      <c r="S42" s="530"/>
    </row>
    <row r="43" spans="1:19" ht="15" customHeight="1">
      <c r="B43" s="528"/>
      <c r="C43" s="1446"/>
      <c r="D43" s="1447"/>
      <c r="E43" s="1447"/>
      <c r="F43" s="1447"/>
      <c r="G43" s="1447"/>
      <c r="H43" s="1447"/>
      <c r="I43" s="1448"/>
      <c r="J43" s="544"/>
      <c r="K43" s="539"/>
      <c r="L43" s="1446"/>
      <c r="M43" s="1447"/>
      <c r="N43" s="1447"/>
      <c r="O43" s="1447"/>
      <c r="P43" s="1447"/>
      <c r="Q43" s="1447"/>
      <c r="R43" s="1448"/>
      <c r="S43" s="530"/>
    </row>
    <row r="44" spans="1:19" ht="13.8" thickBot="1">
      <c r="B44" s="546"/>
      <c r="C44" s="547"/>
      <c r="D44" s="547"/>
      <c r="E44" s="547"/>
      <c r="F44" s="548"/>
      <c r="G44" s="548"/>
      <c r="H44" s="548"/>
      <c r="I44" s="548"/>
      <c r="J44" s="549"/>
      <c r="K44" s="546"/>
      <c r="L44" s="548"/>
      <c r="M44" s="548"/>
      <c r="N44" s="548"/>
      <c r="O44" s="548"/>
      <c r="P44" s="548"/>
      <c r="Q44" s="548"/>
      <c r="R44" s="548"/>
      <c r="S44" s="549"/>
    </row>
    <row r="47" spans="1:19">
      <c r="C47" s="550"/>
      <c r="D47" s="550"/>
      <c r="E47" s="550"/>
      <c r="F47" s="511"/>
      <c r="G47" s="511"/>
      <c r="H47" s="511"/>
      <c r="I47" s="511"/>
      <c r="J47" s="511"/>
      <c r="K47" s="511"/>
      <c r="L47" s="511"/>
      <c r="M47" s="511"/>
    </row>
    <row r="48" spans="1:19">
      <c r="C48" s="551"/>
      <c r="D48" s="551"/>
      <c r="E48" s="551"/>
      <c r="F48" s="511"/>
      <c r="G48" s="511"/>
      <c r="H48" s="511"/>
      <c r="I48" s="511"/>
      <c r="J48" s="511"/>
      <c r="K48" s="511"/>
      <c r="L48" s="511"/>
      <c r="M48" s="511"/>
    </row>
    <row r="49" spans="3:14">
      <c r="C49" s="551"/>
      <c r="D49" s="551"/>
      <c r="E49" s="551"/>
      <c r="F49" s="511"/>
      <c r="G49" s="511"/>
      <c r="H49" s="511"/>
      <c r="I49" s="511"/>
      <c r="J49" s="511"/>
      <c r="K49" s="511"/>
      <c r="L49" s="511"/>
      <c r="M49" s="511"/>
      <c r="N49" s="511"/>
    </row>
    <row r="50" spans="3:14">
      <c r="C50" s="511"/>
      <c r="D50" s="511"/>
      <c r="E50" s="511"/>
      <c r="F50" s="511"/>
      <c r="G50" s="511"/>
      <c r="H50" s="511"/>
      <c r="I50" s="511"/>
      <c r="J50" s="511"/>
      <c r="K50" s="511"/>
      <c r="L50" s="511"/>
      <c r="M50" s="511"/>
      <c r="N50" s="511"/>
    </row>
  </sheetData>
  <mergeCells count="18">
    <mergeCell ref="B2:S3"/>
    <mergeCell ref="C43:I43"/>
    <mergeCell ref="L43:R43"/>
    <mergeCell ref="J4:K4"/>
    <mergeCell ref="C26:I26"/>
    <mergeCell ref="C8:I8"/>
    <mergeCell ref="L8:R8"/>
    <mergeCell ref="L26:R26"/>
    <mergeCell ref="C10:E10"/>
    <mergeCell ref="G10:I10"/>
    <mergeCell ref="C28:E28"/>
    <mergeCell ref="G28:I28"/>
    <mergeCell ref="L28:N28"/>
    <mergeCell ref="P28:R28"/>
    <mergeCell ref="L5:R5"/>
    <mergeCell ref="C5:I5"/>
    <mergeCell ref="L10:N10"/>
    <mergeCell ref="P10:R10"/>
  </mergeCells>
  <phoneticPr fontId="10" type="noConversion"/>
  <printOptions horizontalCentered="1"/>
  <pageMargins left="0.54" right="0.52" top="1.1599999999999999" bottom="0.43" header="0" footer="0"/>
  <pageSetup paperSize="9" scale="66" orientation="landscape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77C24-C275-478C-A93A-9BA2D8A4E787}">
  <sheetPr codeName="Hoja10"/>
  <dimension ref="A2:K49"/>
  <sheetViews>
    <sheetView topLeftCell="A7" workbookViewId="0">
      <selection activeCell="K17" sqref="K17"/>
    </sheetView>
  </sheetViews>
  <sheetFormatPr baseColWidth="10" defaultRowHeight="13.2"/>
  <cols>
    <col min="1" max="1" width="12.109375" customWidth="1"/>
  </cols>
  <sheetData>
    <row r="2" spans="1:11">
      <c r="K2" t="s">
        <v>536</v>
      </c>
    </row>
    <row r="3" spans="1:11" ht="15.6">
      <c r="A3" s="158" t="s">
        <v>503</v>
      </c>
      <c r="F3" s="158" t="s">
        <v>508</v>
      </c>
    </row>
    <row r="5" spans="1:11">
      <c r="A5" s="667" t="s">
        <v>504</v>
      </c>
      <c r="D5" s="220" t="s">
        <v>506</v>
      </c>
      <c r="F5" s="667" t="s">
        <v>504</v>
      </c>
      <c r="I5" s="220" t="s">
        <v>506</v>
      </c>
    </row>
    <row r="6" spans="1:11">
      <c r="A6" s="152" t="s">
        <v>461</v>
      </c>
      <c r="B6" s="171">
        <f>+'Bal Energ Fus'!I70</f>
        <v>113630.39372294724</v>
      </c>
      <c r="D6" s="707">
        <v>984.8443320281774</v>
      </c>
      <c r="F6" s="152" t="s">
        <v>461</v>
      </c>
      <c r="G6" s="171">
        <f ca="1">+'Bal Energ Red'!I65</f>
        <v>37059.70341501743</v>
      </c>
      <c r="I6" s="707">
        <v>1149.9479618696507</v>
      </c>
    </row>
    <row r="7" spans="1:11">
      <c r="A7" s="136" t="s">
        <v>455</v>
      </c>
      <c r="B7" s="138">
        <f ca="1">+'Bal Energ Fus'!I185</f>
        <v>113568.98812527327</v>
      </c>
      <c r="D7" s="836">
        <f>+Principal!G46</f>
        <v>984.8443320281774</v>
      </c>
      <c r="F7" s="136" t="s">
        <v>455</v>
      </c>
      <c r="G7" s="138">
        <f ca="1">+'Bal Energ Red'!I181</f>
        <v>37059.631451114394</v>
      </c>
      <c r="I7" s="7"/>
    </row>
    <row r="8" spans="1:11">
      <c r="B8" s="267">
        <f ca="1">+B6-B7</f>
        <v>6.3238369868486188E-2</v>
      </c>
      <c r="D8" s="7"/>
      <c r="G8" s="267">
        <f ca="1">+G6-G7</f>
        <v>7.1963903035793919E-2</v>
      </c>
      <c r="I8" s="7"/>
    </row>
    <row r="9" spans="1:11">
      <c r="B9" s="267"/>
      <c r="D9" s="7"/>
      <c r="G9" s="267"/>
      <c r="I9" s="7"/>
    </row>
    <row r="10" spans="1:11">
      <c r="A10" s="667" t="s">
        <v>505</v>
      </c>
      <c r="B10" s="267"/>
      <c r="D10" s="220" t="s">
        <v>506</v>
      </c>
      <c r="F10" s="667" t="s">
        <v>505</v>
      </c>
      <c r="G10" s="267"/>
      <c r="I10" s="220" t="s">
        <v>506</v>
      </c>
    </row>
    <row r="11" spans="1:11">
      <c r="A11" s="152" t="s">
        <v>461</v>
      </c>
      <c r="B11" s="171">
        <f>+'Bal Energ Fus'!I222</f>
        <v>87642.491597070592</v>
      </c>
      <c r="D11" s="707">
        <v>1619.4922659409988</v>
      </c>
      <c r="F11" s="152" t="s">
        <v>461</v>
      </c>
      <c r="G11" s="171">
        <f ca="1">+'Bal Energ Red'!I218</f>
        <v>20464.082380624324</v>
      </c>
      <c r="I11" s="707">
        <v>1629.4237297126108</v>
      </c>
    </row>
    <row r="12" spans="1:11">
      <c r="A12" s="136" t="s">
        <v>455</v>
      </c>
      <c r="B12" s="138">
        <f>+'Bal Energ Fus'!I259</f>
        <v>88245.362012663012</v>
      </c>
      <c r="D12" s="7"/>
      <c r="F12" s="136" t="s">
        <v>455</v>
      </c>
      <c r="G12" s="138">
        <f ca="1">+'Bal Energ Red'!I255</f>
        <v>20463.992858621194</v>
      </c>
      <c r="I12" s="7"/>
    </row>
    <row r="13" spans="1:11">
      <c r="B13" s="267">
        <f>+B11-B12</f>
        <v>-602.87041559242061</v>
      </c>
      <c r="D13" s="7"/>
      <c r="G13" s="267">
        <f ca="1">+G11-G12</f>
        <v>8.9522003130696248E-2</v>
      </c>
      <c r="I13" s="7"/>
    </row>
    <row r="14" spans="1:11">
      <c r="B14" s="267"/>
      <c r="D14" s="7"/>
      <c r="G14" s="267"/>
      <c r="I14" s="7"/>
    </row>
    <row r="15" spans="1:11">
      <c r="A15" s="667" t="s">
        <v>405</v>
      </c>
      <c r="B15" s="267"/>
      <c r="D15" s="220" t="s">
        <v>507</v>
      </c>
      <c r="F15" s="667" t="s">
        <v>405</v>
      </c>
      <c r="G15" s="267"/>
      <c r="I15" s="220" t="s">
        <v>507</v>
      </c>
    </row>
    <row r="16" spans="1:11">
      <c r="A16" s="152" t="s">
        <v>461</v>
      </c>
      <c r="B16" s="171">
        <f>+'Bal Energ Fus'!I276</f>
        <v>88733.119319006975</v>
      </c>
      <c r="D16" s="707">
        <v>21710.560656583031</v>
      </c>
      <c r="F16" s="152" t="s">
        <v>461</v>
      </c>
      <c r="G16" s="171">
        <f ca="1">+'Bal Energ Red'!I271</f>
        <v>19236.147915783735</v>
      </c>
      <c r="I16" s="707">
        <v>17081.989905026112</v>
      </c>
    </row>
    <row r="17" spans="1:9">
      <c r="A17" s="136" t="s">
        <v>455</v>
      </c>
      <c r="B17" s="138">
        <f>+'Bal Energ Fus'!I313</f>
        <v>85130.748375428288</v>
      </c>
      <c r="D17" s="666"/>
      <c r="F17" s="136" t="s">
        <v>455</v>
      </c>
      <c r="G17" s="138">
        <f ca="1">+'Bal Energ Red'!I308</f>
        <v>19236.056659888454</v>
      </c>
      <c r="I17" s="666"/>
    </row>
    <row r="18" spans="1:9">
      <c r="B18" s="267">
        <f>+B16-B17</f>
        <v>3602.3709435786877</v>
      </c>
      <c r="G18" s="267">
        <f ca="1">+G16-G17</f>
        <v>9.1255895280482946E-2</v>
      </c>
    </row>
    <row r="21" spans="1:9" ht="15.6">
      <c r="A21" s="158" t="s">
        <v>509</v>
      </c>
      <c r="F21" s="158" t="s">
        <v>510</v>
      </c>
    </row>
    <row r="23" spans="1:9">
      <c r="A23" s="190" t="s">
        <v>160</v>
      </c>
      <c r="F23" s="190" t="s">
        <v>160</v>
      </c>
    </row>
    <row r="24" spans="1:9">
      <c r="A24" s="152" t="s">
        <v>511</v>
      </c>
      <c r="B24" s="675">
        <f>+'Bal Mat Fus'!N48</f>
        <v>-0.60770446754322371</v>
      </c>
      <c r="F24" s="152" t="s">
        <v>511</v>
      </c>
      <c r="G24" s="675">
        <f ca="1">+'Bal Mat Red'!N48</f>
        <v>-8.7409199246857305E-4</v>
      </c>
    </row>
    <row r="25" spans="1:9">
      <c r="A25" s="136" t="s">
        <v>160</v>
      </c>
      <c r="B25" s="708">
        <v>11.700845323327771</v>
      </c>
      <c r="F25" s="136" t="s">
        <v>160</v>
      </c>
      <c r="G25" s="708">
        <v>1.8354764945783273</v>
      </c>
    </row>
    <row r="27" spans="1:9">
      <c r="A27" s="190" t="s">
        <v>512</v>
      </c>
      <c r="F27" s="190" t="s">
        <v>512</v>
      </c>
    </row>
    <row r="28" spans="1:9">
      <c r="A28" s="152" t="s">
        <v>511</v>
      </c>
      <c r="B28" s="675">
        <f>+'Bal Mat Fus'!F136</f>
        <v>1.5996362772702426</v>
      </c>
      <c r="F28" s="152" t="s">
        <v>511</v>
      </c>
      <c r="G28" s="675">
        <f ca="1">+'Bal Mat Red'!F130</f>
        <v>-2.7327511884606137E-3</v>
      </c>
    </row>
    <row r="29" spans="1:9">
      <c r="A29" s="136" t="s">
        <v>513</v>
      </c>
      <c r="B29" s="708">
        <v>38.210268232528641</v>
      </c>
      <c r="F29" s="136" t="s">
        <v>513</v>
      </c>
      <c r="G29" s="708">
        <v>2.258228162109519</v>
      </c>
    </row>
    <row r="31" spans="1:9">
      <c r="A31" s="190" t="s">
        <v>514</v>
      </c>
      <c r="F31" s="190" t="s">
        <v>514</v>
      </c>
    </row>
    <row r="32" spans="1:9">
      <c r="A32" s="152" t="s">
        <v>511</v>
      </c>
      <c r="B32" s="675">
        <f>+'Bal Mat Fus'!H149</f>
        <v>-1.3386630750219508E-3</v>
      </c>
      <c r="F32" s="152" t="s">
        <v>511</v>
      </c>
      <c r="G32" s="675">
        <f ca="1">+'Bal Mat Red'!H143</f>
        <v>4.6970639845744788E-4</v>
      </c>
    </row>
    <row r="33" spans="1:8">
      <c r="A33" s="136" t="s">
        <v>513</v>
      </c>
      <c r="B33" s="708">
        <v>10.417595572132049</v>
      </c>
      <c r="F33" s="136" t="s">
        <v>513</v>
      </c>
      <c r="G33" s="708">
        <v>5.1209010571036666</v>
      </c>
    </row>
    <row r="36" spans="1:8" ht="15.6">
      <c r="A36" s="158" t="s">
        <v>520</v>
      </c>
    </row>
    <row r="38" spans="1:8">
      <c r="A38" s="692" t="s">
        <v>521</v>
      </c>
      <c r="B38" s="692"/>
      <c r="C38" s="692"/>
      <c r="D38" s="692"/>
      <c r="E38" s="692"/>
      <c r="F38" s="692" t="s">
        <v>522</v>
      </c>
    </row>
    <row r="39" spans="1:8">
      <c r="A39" s="152" t="s">
        <v>523</v>
      </c>
      <c r="B39" s="179"/>
      <c r="C39" s="688">
        <f ca="1">+Resumen2!D24-Resumen2!H24</f>
        <v>-0.10241407476502218</v>
      </c>
      <c r="F39" s="152" t="s">
        <v>523</v>
      </c>
      <c r="G39" s="179"/>
      <c r="H39" s="690">
        <f ca="1">+Resumen2!M24-Resumen2!Q24</f>
        <v>0.13549086579587311</v>
      </c>
    </row>
    <row r="40" spans="1:8">
      <c r="A40" s="136" t="s">
        <v>524</v>
      </c>
      <c r="B40" s="182"/>
      <c r="C40" s="689">
        <f ca="1">+Resumen2!D41-Resumen2!H41</f>
        <v>5.9130396426979814E-2</v>
      </c>
      <c r="F40" s="136" t="s">
        <v>524</v>
      </c>
      <c r="G40" s="182"/>
      <c r="H40" s="691">
        <f ca="1">+Resumen2!M41-Resumen2!Q41</f>
        <v>0.16148590616649017</v>
      </c>
    </row>
    <row r="44" spans="1:8">
      <c r="A44" t="s">
        <v>530</v>
      </c>
      <c r="C44" s="267">
        <f>+Carga!AF21</f>
        <v>0</v>
      </c>
    </row>
    <row r="45" spans="1:8">
      <c r="A45" t="s">
        <v>531</v>
      </c>
      <c r="C45" s="267">
        <f>+Carga!AF20</f>
        <v>2</v>
      </c>
    </row>
    <row r="46" spans="1:8">
      <c r="A46" t="s">
        <v>533</v>
      </c>
      <c r="C46" s="896">
        <v>50</v>
      </c>
      <c r="D46" s="7" t="str">
        <f>+IF(OR(C46=0,C46=100),"","OK")</f>
        <v>OK</v>
      </c>
    </row>
    <row r="47" spans="1:8">
      <c r="A47" t="s">
        <v>535</v>
      </c>
      <c r="C47">
        <f>+Factores!U31</f>
        <v>1</v>
      </c>
    </row>
    <row r="48" spans="1:8">
      <c r="A48" t="s">
        <v>582</v>
      </c>
      <c r="C48" s="1236">
        <v>0</v>
      </c>
    </row>
    <row r="49" spans="1:3">
      <c r="A49" t="s">
        <v>583</v>
      </c>
      <c r="C49" s="902">
        <v>200</v>
      </c>
    </row>
  </sheetData>
  <phoneticPr fontId="10" type="noConversion"/>
  <pageMargins left="0.75" right="0.75" top="1" bottom="1" header="0" footer="0"/>
  <pageSetup paperSize="9" orientation="portrait" horizontalDpi="300" verticalDpi="300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AAE97-E4C5-430E-8F9F-D80E4DFB0729}">
  <sheetPr codeName="Hoja14"/>
  <dimension ref="A3:L18"/>
  <sheetViews>
    <sheetView workbookViewId="0">
      <selection activeCell="C13" sqref="C13"/>
    </sheetView>
  </sheetViews>
  <sheetFormatPr baseColWidth="10" defaultRowHeight="13.2"/>
  <cols>
    <col min="1" max="1" width="25.44140625" bestFit="1" customWidth="1"/>
  </cols>
  <sheetData>
    <row r="3" spans="1:11">
      <c r="B3" t="s">
        <v>624</v>
      </c>
    </row>
    <row r="4" spans="1:11">
      <c r="B4" s="266" t="s">
        <v>710</v>
      </c>
    </row>
    <row r="5" spans="1:11">
      <c r="A5" s="266" t="s">
        <v>496</v>
      </c>
      <c r="B5" s="266" t="s">
        <v>711</v>
      </c>
    </row>
    <row r="6" spans="1:11">
      <c r="B6" s="26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</row>
    <row r="7" spans="1:11">
      <c r="A7" t="s">
        <v>472</v>
      </c>
      <c r="B7" s="1135">
        <v>1281.7553393178951</v>
      </c>
      <c r="C7" s="1135"/>
      <c r="D7" s="1135"/>
      <c r="E7" s="1135"/>
      <c r="F7" s="1135"/>
      <c r="G7" s="1135"/>
      <c r="H7" s="1135"/>
      <c r="I7" s="1135"/>
      <c r="J7" s="1135"/>
      <c r="K7" s="1135">
        <v>3845.2660179536852</v>
      </c>
    </row>
    <row r="8" spans="1:11">
      <c r="A8" t="s">
        <v>474</v>
      </c>
      <c r="B8" s="1135">
        <v>258.46434933755125</v>
      </c>
      <c r="C8" s="1135"/>
      <c r="D8" s="1135"/>
      <c r="E8" s="1135"/>
      <c r="F8" s="1135"/>
      <c r="G8" s="1135"/>
      <c r="H8" s="1135"/>
      <c r="I8" s="1135"/>
      <c r="J8" s="1135"/>
      <c r="K8" s="1135">
        <v>255.78056540759727</v>
      </c>
    </row>
    <row r="9" spans="1:11">
      <c r="B9" s="1135">
        <f t="shared" ref="B9:J9" si="0">SUM(B7:B8)</f>
        <v>1540.2196886554464</v>
      </c>
      <c r="C9" s="1135">
        <f t="shared" si="0"/>
        <v>0</v>
      </c>
      <c r="D9" s="1135">
        <f t="shared" si="0"/>
        <v>0</v>
      </c>
      <c r="E9" s="1135">
        <f t="shared" si="0"/>
        <v>0</v>
      </c>
      <c r="F9" s="1135">
        <f t="shared" si="0"/>
        <v>0</v>
      </c>
      <c r="G9" s="1135">
        <f t="shared" si="0"/>
        <v>0</v>
      </c>
      <c r="H9" s="1135">
        <f t="shared" si="0"/>
        <v>0</v>
      </c>
      <c r="I9" s="1135">
        <f t="shared" si="0"/>
        <v>0</v>
      </c>
      <c r="J9" s="1135">
        <f t="shared" si="0"/>
        <v>0</v>
      </c>
      <c r="K9" s="1135">
        <f>SUM(K7:K8)</f>
        <v>4101.0465833612825</v>
      </c>
    </row>
    <row r="11" spans="1:11">
      <c r="A11" s="266" t="s">
        <v>497</v>
      </c>
    </row>
    <row r="13" spans="1:11">
      <c r="A13" t="s">
        <v>472</v>
      </c>
      <c r="B13" s="1135">
        <v>2082.8524263915792</v>
      </c>
      <c r="C13" s="1135"/>
      <c r="D13" s="1135"/>
      <c r="E13" s="1135"/>
      <c r="F13" s="1135"/>
      <c r="G13" s="1135"/>
      <c r="H13" s="1135"/>
      <c r="I13" s="1135"/>
      <c r="J13" s="1135"/>
      <c r="K13" s="1135">
        <v>5447.4601921010535</v>
      </c>
    </row>
    <row r="14" spans="1:11">
      <c r="A14" t="s">
        <v>474</v>
      </c>
      <c r="B14" s="1135">
        <v>572.42906306174223</v>
      </c>
      <c r="C14" s="1135"/>
      <c r="D14" s="1135"/>
      <c r="E14" s="1135"/>
      <c r="F14" s="1135"/>
      <c r="G14" s="1135"/>
      <c r="H14" s="1135"/>
      <c r="I14" s="1135"/>
      <c r="J14" s="1135"/>
      <c r="K14" s="1135">
        <v>501.26992199284393</v>
      </c>
    </row>
    <row r="15" spans="1:11">
      <c r="B15" s="1135">
        <f t="shared" ref="B15:J15" si="1">SUM(B13:B14)</f>
        <v>2655.2814894533212</v>
      </c>
      <c r="C15" s="1135">
        <f t="shared" si="1"/>
        <v>0</v>
      </c>
      <c r="D15" s="1135">
        <f t="shared" si="1"/>
        <v>0</v>
      </c>
      <c r="E15" s="1135">
        <f t="shared" si="1"/>
        <v>0</v>
      </c>
      <c r="F15" s="1135">
        <f t="shared" si="1"/>
        <v>0</v>
      </c>
      <c r="G15" s="1135">
        <f t="shared" si="1"/>
        <v>0</v>
      </c>
      <c r="H15" s="1135">
        <f t="shared" si="1"/>
        <v>0</v>
      </c>
      <c r="I15" s="1135">
        <f t="shared" si="1"/>
        <v>0</v>
      </c>
      <c r="J15" s="1135">
        <f t="shared" si="1"/>
        <v>0</v>
      </c>
      <c r="K15" s="1135">
        <f>SUM(K13:K14)</f>
        <v>5948.7301140938971</v>
      </c>
    </row>
    <row r="16" spans="1:11">
      <c r="B16">
        <v>66</v>
      </c>
    </row>
    <row r="17" spans="2:12">
      <c r="B17" s="1135">
        <v>69</v>
      </c>
      <c r="K17">
        <v>82</v>
      </c>
      <c r="L17" s="266" t="s">
        <v>712</v>
      </c>
    </row>
    <row r="18" spans="2:12">
      <c r="K18" s="1135">
        <v>93</v>
      </c>
      <c r="L18" s="266" t="s">
        <v>227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23B4-44A4-4ECF-A146-25F4EB18AB9A}">
  <sheetPr codeName="Hoja15"/>
  <dimension ref="A8:F28"/>
  <sheetViews>
    <sheetView workbookViewId="0">
      <selection activeCell="I15" sqref="I15"/>
    </sheetView>
  </sheetViews>
  <sheetFormatPr baseColWidth="10" defaultRowHeight="13.2"/>
  <cols>
    <col min="1" max="1" width="9.6640625" bestFit="1" customWidth="1"/>
    <col min="3" max="3" width="7.6640625" customWidth="1"/>
    <col min="4" max="4" width="9.5546875" customWidth="1"/>
  </cols>
  <sheetData>
    <row r="8" spans="1:5">
      <c r="D8" s="1191">
        <v>0.20694444444444446</v>
      </c>
      <c r="E8" s="1191">
        <f>+Principal!P16</f>
        <v>0.21228209158656158</v>
      </c>
    </row>
    <row r="9" spans="1:5">
      <c r="D9" s="264" t="s">
        <v>750</v>
      </c>
      <c r="E9" s="1190" t="s">
        <v>750</v>
      </c>
    </row>
    <row r="10" spans="1:5">
      <c r="A10" s="183"/>
      <c r="B10" s="1174" t="s">
        <v>743</v>
      </c>
      <c r="C10" s="1175" t="s">
        <v>229</v>
      </c>
      <c r="D10" s="348">
        <v>41</v>
      </c>
      <c r="E10" s="1181">
        <f>+'Analisis Conc.'!C72</f>
        <v>57.5</v>
      </c>
    </row>
    <row r="11" spans="1:5">
      <c r="A11" s="100"/>
      <c r="B11" s="1176" t="s">
        <v>744</v>
      </c>
      <c r="C11" s="1177" t="s">
        <v>229</v>
      </c>
      <c r="D11" s="334">
        <v>0.01</v>
      </c>
      <c r="E11" s="1182">
        <f>+'Analisis Conc.'!C73</f>
        <v>10.5</v>
      </c>
    </row>
    <row r="12" spans="1:5">
      <c r="A12" s="260"/>
      <c r="B12" s="1178" t="s">
        <v>89</v>
      </c>
      <c r="C12" s="1179" t="s">
        <v>229</v>
      </c>
      <c r="D12" s="349">
        <v>41.01</v>
      </c>
      <c r="E12" s="1183">
        <f>+E10+E11</f>
        <v>68</v>
      </c>
    </row>
    <row r="13" spans="1:5">
      <c r="D13" s="267"/>
      <c r="E13" s="1184"/>
    </row>
    <row r="14" spans="1:5">
      <c r="A14" s="183"/>
      <c r="B14" s="1174" t="s">
        <v>74</v>
      </c>
      <c r="C14" s="1175" t="s">
        <v>229</v>
      </c>
      <c r="D14" s="348">
        <v>12</v>
      </c>
      <c r="E14" s="1181">
        <f>+Carga!E19</f>
        <v>23.369565217391305</v>
      </c>
    </row>
    <row r="15" spans="1:5">
      <c r="A15" s="100"/>
      <c r="B15" s="1176" t="s">
        <v>745</v>
      </c>
      <c r="C15" s="1177" t="s">
        <v>229</v>
      </c>
      <c r="D15" s="334">
        <v>0</v>
      </c>
      <c r="E15" s="1182">
        <f>+Carga!E22</f>
        <v>0</v>
      </c>
    </row>
    <row r="16" spans="1:5">
      <c r="A16" s="260"/>
      <c r="B16" s="1178" t="s">
        <v>746</v>
      </c>
      <c r="C16" s="1179" t="s">
        <v>229</v>
      </c>
      <c r="D16" s="349">
        <v>38</v>
      </c>
      <c r="E16" s="1183">
        <f>+Carga!E28+Carga!E37</f>
        <v>1.5</v>
      </c>
    </row>
    <row r="17" spans="1:6">
      <c r="E17" s="1185"/>
    </row>
    <row r="18" spans="1:6">
      <c r="A18" s="1456" t="s">
        <v>233</v>
      </c>
      <c r="B18" s="1174" t="s">
        <v>747</v>
      </c>
      <c r="C18" s="1175" t="s">
        <v>268</v>
      </c>
      <c r="D18" s="1172">
        <v>1487.5131060790636</v>
      </c>
      <c r="E18" s="1186">
        <f>+Principal!S10</f>
        <v>1848.3984215085261</v>
      </c>
    </row>
    <row r="19" spans="1:6">
      <c r="A19" s="1457"/>
      <c r="B19" s="1176" t="s">
        <v>518</v>
      </c>
      <c r="C19" s="1177" t="s">
        <v>212</v>
      </c>
      <c r="D19" s="1173">
        <v>35.542283170937075</v>
      </c>
      <c r="E19" s="1187">
        <f>+Principal!S12*100</f>
        <v>43.050864256405951</v>
      </c>
    </row>
    <row r="20" spans="1:6">
      <c r="A20" s="1457"/>
      <c r="B20" s="1176" t="s">
        <v>748</v>
      </c>
      <c r="C20" s="1177" t="s">
        <v>212</v>
      </c>
      <c r="D20" s="1173">
        <v>108.50201352258324</v>
      </c>
      <c r="E20" s="1187">
        <f>+Principal!S14*100</f>
        <v>123.47759259259259</v>
      </c>
    </row>
    <row r="21" spans="1:6">
      <c r="A21" s="1457"/>
      <c r="B21" s="1176" t="s">
        <v>749</v>
      </c>
      <c r="C21" s="1177" t="s">
        <v>428</v>
      </c>
      <c r="D21" s="1173">
        <v>7877.1653221158622</v>
      </c>
      <c r="E21" s="1187">
        <f>+Principal!O34</f>
        <v>14718.044431858831</v>
      </c>
      <c r="F21" s="391">
        <f>+E21-D21</f>
        <v>6840.8791097429685</v>
      </c>
    </row>
    <row r="22" spans="1:6">
      <c r="A22" s="1458"/>
      <c r="B22" s="1178" t="s">
        <v>563</v>
      </c>
      <c r="C22" s="1179" t="s">
        <v>260</v>
      </c>
      <c r="D22" s="1180">
        <v>5</v>
      </c>
      <c r="E22" s="1188">
        <f>+Principal!Q16</f>
        <v>5.0947701980774784</v>
      </c>
    </row>
    <row r="23" spans="1:6">
      <c r="D23" s="900"/>
      <c r="E23" s="1189"/>
    </row>
    <row r="24" spans="1:6">
      <c r="A24" s="1456" t="s">
        <v>234</v>
      </c>
      <c r="B24" s="1174" t="s">
        <v>747</v>
      </c>
      <c r="C24" s="1175" t="s">
        <v>268</v>
      </c>
      <c r="D24" s="1172">
        <v>1289.3755355885332</v>
      </c>
      <c r="E24" s="1186">
        <f>+Principal!S59</f>
        <v>1388.5487354326656</v>
      </c>
    </row>
    <row r="25" spans="1:6">
      <c r="A25" s="1459"/>
      <c r="B25" s="1176" t="s">
        <v>518</v>
      </c>
      <c r="C25" s="1177" t="s">
        <v>212</v>
      </c>
      <c r="D25" s="1173">
        <v>30.478905222899481</v>
      </c>
      <c r="E25" s="1187">
        <f>+Principal!S61*100</f>
        <v>31.176643401541416</v>
      </c>
    </row>
    <row r="26" spans="1:6">
      <c r="A26" s="1459"/>
      <c r="B26" s="1176" t="s">
        <v>748</v>
      </c>
      <c r="C26" s="1177" t="s">
        <v>212</v>
      </c>
      <c r="D26" s="1173">
        <v>99.970894598726403</v>
      </c>
      <c r="E26" s="1187">
        <f>+Principal!S63*100</f>
        <v>97.18664021164021</v>
      </c>
    </row>
    <row r="27" spans="1:6">
      <c r="A27" s="1460"/>
      <c r="B27" s="1178" t="s">
        <v>563</v>
      </c>
      <c r="C27" s="1179" t="s">
        <v>260</v>
      </c>
      <c r="D27" s="1180">
        <v>1.8</v>
      </c>
      <c r="E27" s="1188">
        <f>+Principal!Q65</f>
        <v>1.45</v>
      </c>
    </row>
    <row r="28" spans="1:6">
      <c r="E28" s="900"/>
    </row>
  </sheetData>
  <mergeCells count="2">
    <mergeCell ref="A18:A22"/>
    <mergeCell ref="A24:A2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6</vt:i4>
      </vt:variant>
    </vt:vector>
  </HeadingPairs>
  <TitlesOfParts>
    <vt:vector size="24" baseType="lpstr">
      <vt:lpstr>Principal</vt:lpstr>
      <vt:lpstr>Analisis Conc.</vt:lpstr>
      <vt:lpstr>Factores</vt:lpstr>
      <vt:lpstr>Carga</vt:lpstr>
      <vt:lpstr>Perdidas</vt:lpstr>
      <vt:lpstr>Analisis Otros</vt:lpstr>
      <vt:lpstr>Conversion Flujos</vt:lpstr>
      <vt:lpstr>GO-F-7003</vt:lpstr>
      <vt:lpstr>Perfil</vt:lpstr>
      <vt:lpstr>Bal Mat Fus</vt:lpstr>
      <vt:lpstr>Bal Mat Red</vt:lpstr>
      <vt:lpstr>Bal Energ Red</vt:lpstr>
      <vt:lpstr>Bal Energ Fus</vt:lpstr>
      <vt:lpstr>Resumen</vt:lpstr>
      <vt:lpstr>Resumen2</vt:lpstr>
      <vt:lpstr>macro</vt:lpstr>
      <vt:lpstr>historia perdidas</vt:lpstr>
      <vt:lpstr>Comparacion</vt:lpstr>
      <vt:lpstr>'Analisis Conc.'!Área_de_impresión</vt:lpstr>
      <vt:lpstr>'GO-F-7003'!Área_de_impresión</vt:lpstr>
      <vt:lpstr>Principal!Área_de_impresión</vt:lpstr>
      <vt:lpstr>Resumen!Área_de_impresión</vt:lpstr>
      <vt:lpstr>Resumen2!Área_de_impresión</vt:lpstr>
      <vt:lpstr>'GO-F-7003'!Títulos_a_imprimir</vt:lpstr>
    </vt:vector>
  </TitlesOfParts>
  <Company>Minsur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jzelada</dc:creator>
  <cp:lastModifiedBy>kevin jeffry nalvarte yantas</cp:lastModifiedBy>
  <cp:lastPrinted>2013-06-28T03:11:13Z</cp:lastPrinted>
  <dcterms:created xsi:type="dcterms:W3CDTF">2004-03-31T15:25:46Z</dcterms:created>
  <dcterms:modified xsi:type="dcterms:W3CDTF">2026-09-15T00:38:21Z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QReportStart">
    <vt:lpwstr/>
  </property>
  <property fmtid="{D5CDD505-2E9C-101B-9397-08002B2CF9AE}" pid="3" name="MXQReportEnd">
    <vt:lpwstr/>
  </property>
  <property fmtid="{D5CDD505-2E9C-101B-9397-08002B2CF9AE}" pid="4" name="MXQSpotTime">
    <vt:lpwstr/>
  </property>
</Properties>
</file>